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3934\Desktop\"/>
    </mc:Choice>
  </mc:AlternateContent>
  <xr:revisionPtr revIDLastSave="0" documentId="8_{51745D4D-6C56-4812-91E6-307D2D0C3721}" xr6:coauthVersionLast="47" xr6:coauthVersionMax="47" xr10:uidLastSave="{00000000-0000-0000-0000-000000000000}"/>
  <bookViews>
    <workbookView xWindow="28680" yWindow="-120" windowWidth="29040" windowHeight="15720" firstSheet="3" activeTab="4" xr2:uid="{00000000-000D-0000-FFFF-FFFF00000000}"/>
  </bookViews>
  <sheets>
    <sheet name="DoD_Graf" sheetId="18" state="hidden" r:id="rId1"/>
    <sheet name="Aux_ValidDados" sheetId="14" state="hidden" r:id="rId2"/>
    <sheet name="td_Dados" sheetId="16" state="hidden" r:id="rId3"/>
    <sheet name="Bd_Dados" sheetId="15" r:id="rId4"/>
    <sheet name="Dashboard" sheetId="17" r:id="rId5"/>
  </sheets>
  <definedNames>
    <definedName name="_xlnm.Print_Area" localSheetId="4">Dashboard!$A$1:$L$104</definedName>
    <definedName name="NativeTimeline_DATA_PREVISTA">#N/A</definedName>
    <definedName name="SegmentaçãodeDados_AVALIAÇÃO_DA_EFICÁCIA_DA_AÇÃO">#N/A</definedName>
    <definedName name="SegmentaçãodeDados_OBJETIVOS_E_METAS">#N/A</definedName>
    <definedName name="SegmentaçãodeDados_POLITICA_1">#N/A</definedName>
    <definedName name="SegmentaçãodeDados_POLITICA_2">#N/A</definedName>
    <definedName name="SegmentaçãodeDados_POLITICA_3">#N/A</definedName>
    <definedName name="SegmentaçãodeDados_POLITICA_4">#N/A</definedName>
    <definedName name="SegmentaçãodeDados_POLITICA_5">#N/A</definedName>
    <definedName name="SegmentaçãodeDados_POLITICA_6">#N/A</definedName>
    <definedName name="SegmentaçãodeDados_POLITICA_7">#N/A</definedName>
    <definedName name="SegmentaçãodeDados_POLITICA_8">#N/A</definedName>
    <definedName name="SegmentaçãodeDados_RESPONSAVEL">#N/A</definedName>
    <definedName name="SegmentaçãodeDados_STATUS">#N/A</definedName>
  </definedNames>
  <calcPr calcId="191028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9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" i="15" l="1"/>
  <c r="T1" i="15" s="1"/>
  <c r="U1" i="15" s="1"/>
  <c r="V1" i="15" s="1"/>
  <c r="C1" i="15"/>
  <c r="D1" i="15" s="1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B1" i="15"/>
  <c r="A1" i="15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C22" i="18"/>
  <c r="C21" i="18"/>
  <c r="E21" i="18" s="1"/>
  <c r="C20" i="18"/>
  <c r="C19" i="18"/>
  <c r="E19" i="18" s="1"/>
  <c r="C18" i="18"/>
  <c r="C16" i="18"/>
  <c r="E16" i="18" s="1"/>
  <c r="C15" i="18"/>
  <c r="E15" i="18" s="1"/>
  <c r="C14" i="18"/>
  <c r="C13" i="18"/>
  <c r="C12" i="18"/>
  <c r="C11" i="18"/>
  <c r="E11" i="18" s="1"/>
  <c r="C10" i="18"/>
  <c r="C9" i="18"/>
  <c r="C8" i="18"/>
  <c r="E8" i="18" s="1"/>
  <c r="C7" i="18"/>
  <c r="E7" i="18" s="1"/>
  <c r="C6" i="18"/>
  <c r="C5" i="18"/>
  <c r="C4" i="18"/>
  <c r="C3" i="18"/>
  <c r="E3" i="18" s="1"/>
  <c r="E12" i="18"/>
  <c r="C17" i="18"/>
  <c r="C23" i="18"/>
  <c r="E23" i="18" s="1"/>
  <c r="C24" i="18"/>
  <c r="E24" i="18" s="1"/>
  <c r="C25" i="18"/>
  <c r="C26" i="18"/>
  <c r="C27" i="18"/>
  <c r="E27" i="18" s="1"/>
  <c r="C28" i="18"/>
  <c r="C29" i="18"/>
  <c r="E29" i="18" s="1"/>
  <c r="C30" i="18"/>
  <c r="E30" i="18" s="1"/>
  <c r="C31" i="18"/>
  <c r="E31" i="18" s="1"/>
  <c r="C32" i="18"/>
  <c r="E32" i="18" s="1"/>
  <c r="C33" i="18"/>
  <c r="C34" i="18"/>
  <c r="C35" i="18"/>
  <c r="E35" i="18" s="1"/>
  <c r="C36" i="18"/>
  <c r="C37" i="18"/>
  <c r="E37" i="18" s="1"/>
  <c r="C38" i="18"/>
  <c r="E38" i="18" s="1"/>
  <c r="C39" i="18"/>
  <c r="E39" i="18" s="1"/>
  <c r="C40" i="18"/>
  <c r="E40" i="18" s="1"/>
  <c r="C41" i="18"/>
  <c r="C42" i="18"/>
  <c r="C43" i="18"/>
  <c r="E43" i="18" s="1"/>
  <c r="C44" i="18"/>
  <c r="C45" i="18"/>
  <c r="E45" i="18" s="1"/>
  <c r="C46" i="18"/>
  <c r="E46" i="18" s="1"/>
  <c r="C47" i="18"/>
  <c r="E47" i="18" s="1"/>
  <c r="C48" i="18"/>
  <c r="E48" i="18" s="1"/>
  <c r="C49" i="18"/>
  <c r="C50" i="18"/>
  <c r="C51" i="18"/>
  <c r="E51" i="18" s="1"/>
  <c r="C52" i="18"/>
  <c r="C53" i="18"/>
  <c r="E53" i="18" s="1"/>
  <c r="C54" i="18"/>
  <c r="E54" i="18" s="1"/>
  <c r="C55" i="18"/>
  <c r="E55" i="18" s="1"/>
  <c r="C56" i="18"/>
  <c r="E56" i="18" s="1"/>
  <c r="C57" i="18"/>
  <c r="C58" i="18"/>
  <c r="C59" i="18"/>
  <c r="E59" i="18" s="1"/>
  <c r="C60" i="18"/>
  <c r="C61" i="18"/>
  <c r="E61" i="18" s="1"/>
  <c r="C62" i="18"/>
  <c r="E62" i="18" s="1"/>
  <c r="C63" i="18"/>
  <c r="E63" i="18" s="1"/>
  <c r="C64" i="18"/>
  <c r="E64" i="18" s="1"/>
  <c r="C65" i="18"/>
  <c r="C66" i="18"/>
  <c r="C67" i="18"/>
  <c r="E67" i="18" s="1"/>
  <c r="C68" i="18"/>
  <c r="C69" i="18"/>
  <c r="E69" i="18" s="1"/>
  <c r="C70" i="18"/>
  <c r="E70" i="18" s="1"/>
  <c r="C71" i="18"/>
  <c r="E71" i="18" s="1"/>
  <c r="C72" i="18"/>
  <c r="E72" i="18" s="1"/>
  <c r="C73" i="18"/>
  <c r="C74" i="18"/>
  <c r="C75" i="18"/>
  <c r="E75" i="18" s="1"/>
  <c r="C76" i="18"/>
  <c r="C77" i="18"/>
  <c r="E77" i="18" s="1"/>
  <c r="C78" i="18"/>
  <c r="E78" i="18" s="1"/>
  <c r="C79" i="18"/>
  <c r="E79" i="18" s="1"/>
  <c r="C80" i="18"/>
  <c r="E80" i="18" s="1"/>
  <c r="C81" i="18"/>
  <c r="C82" i="18"/>
  <c r="C83" i="18"/>
  <c r="E83" i="18" s="1"/>
  <c r="C84" i="18"/>
  <c r="C85" i="18"/>
  <c r="E85" i="18" s="1"/>
  <c r="C86" i="18"/>
  <c r="E86" i="18" s="1"/>
  <c r="C87" i="18"/>
  <c r="E87" i="18" s="1"/>
  <c r="C88" i="18"/>
  <c r="E88" i="18" s="1"/>
  <c r="C89" i="18"/>
  <c r="C90" i="18"/>
  <c r="C91" i="18"/>
  <c r="E91" i="18" s="1"/>
  <c r="C92" i="18"/>
  <c r="C93" i="18"/>
  <c r="E93" i="18" s="1"/>
  <c r="C94" i="18"/>
  <c r="E94" i="18" s="1"/>
  <c r="C95" i="18"/>
  <c r="E95" i="18" s="1"/>
  <c r="C96" i="18"/>
  <c r="E96" i="18" s="1"/>
  <c r="C97" i="18"/>
  <c r="C98" i="18"/>
  <c r="C99" i="18"/>
  <c r="E99" i="18" s="1"/>
  <c r="C100" i="18"/>
  <c r="C101" i="18"/>
  <c r="E101" i="18" s="1"/>
  <c r="C102" i="18"/>
  <c r="E102" i="18" s="1"/>
  <c r="C103" i="18"/>
  <c r="E103" i="18" s="1"/>
  <c r="C104" i="18"/>
  <c r="E104" i="18" s="1"/>
  <c r="C105" i="18"/>
  <c r="C106" i="18"/>
  <c r="C107" i="18"/>
  <c r="E107" i="18" s="1"/>
  <c r="C108" i="18"/>
  <c r="C109" i="18"/>
  <c r="E109" i="18" s="1"/>
  <c r="C110" i="18"/>
  <c r="E110" i="18" s="1"/>
  <c r="C111" i="18"/>
  <c r="E111" i="18" s="1"/>
  <c r="C112" i="18"/>
  <c r="E112" i="18" s="1"/>
  <c r="C113" i="18"/>
  <c r="C114" i="18"/>
  <c r="C115" i="18"/>
  <c r="E115" i="18" s="1"/>
  <c r="C116" i="18"/>
  <c r="C117" i="18"/>
  <c r="E117" i="18" s="1"/>
  <c r="C118" i="18"/>
  <c r="E118" i="18" s="1"/>
  <c r="C119" i="18"/>
  <c r="E119" i="18" s="1"/>
  <c r="C120" i="18"/>
  <c r="E120" i="18" s="1"/>
  <c r="C121" i="18"/>
  <c r="C122" i="18"/>
  <c r="C123" i="18"/>
  <c r="E123" i="18" s="1"/>
  <c r="C124" i="18"/>
  <c r="C125" i="18"/>
  <c r="E125" i="18" s="1"/>
  <c r="C126" i="18"/>
  <c r="E126" i="18" s="1"/>
  <c r="C127" i="18"/>
  <c r="E127" i="18" s="1"/>
  <c r="C128" i="18"/>
  <c r="E128" i="18" s="1"/>
  <c r="C129" i="18"/>
  <c r="C130" i="18"/>
  <c r="C131" i="18"/>
  <c r="E131" i="18" s="1"/>
  <c r="C132" i="18"/>
  <c r="C133" i="18"/>
  <c r="E133" i="18" s="1"/>
  <c r="C134" i="18"/>
  <c r="E134" i="18" s="1"/>
  <c r="C135" i="18"/>
  <c r="E135" i="18" s="1"/>
  <c r="C136" i="18"/>
  <c r="E136" i="18" s="1"/>
  <c r="C137" i="18"/>
  <c r="C138" i="18"/>
  <c r="C139" i="18"/>
  <c r="E139" i="18" s="1"/>
  <c r="C140" i="18"/>
  <c r="C141" i="18"/>
  <c r="E141" i="18" s="1"/>
  <c r="C142" i="18"/>
  <c r="E142" i="18" s="1"/>
  <c r="C143" i="18"/>
  <c r="E143" i="18" s="1"/>
  <c r="C144" i="18"/>
  <c r="E144" i="18" s="1"/>
  <c r="C145" i="18"/>
  <c r="C146" i="18"/>
  <c r="C147" i="18"/>
  <c r="E147" i="18" s="1"/>
  <c r="C148" i="18"/>
  <c r="C149" i="18"/>
  <c r="E149" i="18" s="1"/>
  <c r="C150" i="18"/>
  <c r="E150" i="18" s="1"/>
  <c r="C151" i="18"/>
  <c r="E151" i="18" s="1"/>
  <c r="C152" i="18"/>
  <c r="E152" i="18" s="1"/>
  <c r="C153" i="18"/>
  <c r="C154" i="18"/>
  <c r="C155" i="18"/>
  <c r="E155" i="18" s="1"/>
  <c r="B11" i="18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B100" i="18" s="1"/>
  <c r="B101" i="18" s="1"/>
  <c r="B102" i="18" s="1"/>
  <c r="B103" i="18" s="1"/>
  <c r="B104" i="18" s="1"/>
  <c r="B105" i="18" s="1"/>
  <c r="B106" i="18" s="1"/>
  <c r="B107" i="18" s="1"/>
  <c r="B108" i="18" s="1"/>
  <c r="B109" i="18" s="1"/>
  <c r="B110" i="18" s="1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39" i="18" s="1"/>
  <c r="B140" i="18" s="1"/>
  <c r="B141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4" i="18"/>
  <c r="B5" i="18" s="1"/>
  <c r="B6" i="18" s="1"/>
  <c r="B7" i="18" s="1"/>
  <c r="B8" i="18" s="1"/>
  <c r="B9" i="18" s="1"/>
  <c r="B10" i="18" s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E4" i="18" l="1"/>
  <c r="E22" i="18"/>
  <c r="E6" i="18"/>
  <c r="E14" i="18"/>
  <c r="E17" i="18"/>
  <c r="E9" i="18"/>
  <c r="E18" i="18"/>
  <c r="E10" i="18"/>
  <c r="E148" i="18"/>
  <c r="E140" i="18"/>
  <c r="E132" i="18"/>
  <c r="E124" i="18"/>
  <c r="E116" i="18"/>
  <c r="E108" i="18"/>
  <c r="E100" i="18"/>
  <c r="E92" i="18"/>
  <c r="E84" i="18"/>
  <c r="E76" i="18"/>
  <c r="E68" i="18"/>
  <c r="E60" i="18"/>
  <c r="E52" i="18"/>
  <c r="E44" i="18"/>
  <c r="E36" i="18"/>
  <c r="E28" i="18"/>
  <c r="E20" i="18"/>
  <c r="E154" i="18"/>
  <c r="E146" i="18"/>
  <c r="E138" i="18"/>
  <c r="E130" i="18"/>
  <c r="E122" i="18"/>
  <c r="E114" i="18"/>
  <c r="E106" i="18"/>
  <c r="E98" i="18"/>
  <c r="E90" i="18"/>
  <c r="E82" i="18"/>
  <c r="E74" i="18"/>
  <c r="E66" i="18"/>
  <c r="E58" i="18"/>
  <c r="E50" i="18"/>
  <c r="E42" i="18"/>
  <c r="E34" i="18"/>
  <c r="E26" i="18"/>
  <c r="E5" i="18"/>
  <c r="E13" i="18"/>
  <c r="E153" i="18"/>
  <c r="E145" i="18"/>
  <c r="E137" i="18"/>
  <c r="E129" i="18"/>
  <c r="E121" i="18"/>
  <c r="E113" i="18"/>
  <c r="E105" i="18"/>
  <c r="E97" i="18"/>
  <c r="E89" i="18"/>
  <c r="E81" i="18"/>
  <c r="E73" i="18"/>
  <c r="E65" i="18"/>
  <c r="E57" i="18"/>
  <c r="E49" i="18"/>
  <c r="E41" i="18"/>
  <c r="E33" i="18"/>
  <c r="E25" i="18"/>
</calcChain>
</file>

<file path=xl/sharedStrings.xml><?xml version="1.0" encoding="utf-8"?>
<sst xmlns="http://schemas.openxmlformats.org/spreadsheetml/2006/main" count="318" uniqueCount="111">
  <si>
    <t>POLITICA DE SUTENTABILIDADE</t>
  </si>
  <si>
    <t>Valorizar a cultura regional</t>
  </si>
  <si>
    <t>Promover a inclusão social</t>
  </si>
  <si>
    <t>Contribuir de forma contínua para a eficácia do sistema de gestão da sustentabilidade</t>
  </si>
  <si>
    <t>OBJETIVOS</t>
  </si>
  <si>
    <t>AÇÃO</t>
  </si>
  <si>
    <t>RESPONSAVEL</t>
  </si>
  <si>
    <t>STATUS</t>
  </si>
  <si>
    <t>Alcançar nível de satisfação de clientes com base nas notas das OTAs, Trip Advisor em, no mínimo, 85% do valor máximo</t>
  </si>
  <si>
    <t>Objetivo 1</t>
  </si>
  <si>
    <t>Providenciar cobertura do Deck Bar</t>
  </si>
  <si>
    <t>Celso</t>
  </si>
  <si>
    <t>Em processo para contratação da empresa que vai execultar o serviço</t>
  </si>
  <si>
    <t>Analisar e implementar planos de ação para sugestões pertinentes, fornecidas pelos clientes das avaliações</t>
  </si>
  <si>
    <t>Celso/Waldecio</t>
  </si>
  <si>
    <t>Identificar e organizar catálogo mensal de ações e eventos culturais que estejam sendo realizados na Região Metropolitana de Natal</t>
  </si>
  <si>
    <t>Leo</t>
  </si>
  <si>
    <t>Realizar, pelo menos, 1 eventos para valorização da cultura regional</t>
  </si>
  <si>
    <t>Objetivo 2</t>
  </si>
  <si>
    <t>Apoiar continuamente, com divulgação para colaboradores e clientes, as ações e eventos culturais externos</t>
  </si>
  <si>
    <t>Objetivo 3</t>
  </si>
  <si>
    <t>Implementar divulgação dos eventos nos murais de comunicação interna</t>
  </si>
  <si>
    <t>Objetivo 4</t>
  </si>
  <si>
    <t>Apoiar continuamente, com divulgação para colaboradores e clientes, a proteção de áreas naturais da região e respectivos ecossistemas</t>
  </si>
  <si>
    <t>Objetivo 5</t>
  </si>
  <si>
    <t>Alcançar 30% da força de trabalho envolvida em ações voluntárias promovidas pelo hotel</t>
  </si>
  <si>
    <t>Objetivo 6</t>
  </si>
  <si>
    <t>Ailton</t>
  </si>
  <si>
    <t>Cumprir 100% dos compromissos assumidos pelo Código de Conduta destinado à prevenção e ao enfrentamento à exploração sexual de crianças e ado-lescentes no turismo</t>
  </si>
  <si>
    <t>Objetivo 7</t>
  </si>
  <si>
    <t>Ailton/Sara</t>
  </si>
  <si>
    <t>Receber, por ano, pelo menos, 100 alunos oriundos do Programa Senac de Gratuidade</t>
  </si>
  <si>
    <t xml:space="preserve">Aplicar lista de Presença para monitorar a quantidade de Alunos recebidos no hotel </t>
  </si>
  <si>
    <t>Manter a certificação do SGS com base na ABNT NBR 21401</t>
  </si>
  <si>
    <t>Objetivo 9</t>
  </si>
  <si>
    <t xml:space="preserve">Todos </t>
  </si>
  <si>
    <t>Reduzir em 20% a quantidade de resíduos/ocupação enviados ao Molok, em relação aos valores em 2022</t>
  </si>
  <si>
    <t>Objetivo 10</t>
  </si>
  <si>
    <t>Comprir as açoes previstas no PGRS</t>
  </si>
  <si>
    <t xml:space="preserve">Reduzir em 10% o consumo de Combustível dos meios de transporte próprios e utilizados nas suas atividades em relação a 2022 </t>
  </si>
  <si>
    <t>Objetivo 11</t>
  </si>
  <si>
    <t>Implementar medição de consumo de combustível para o veículo do Hotel</t>
  </si>
  <si>
    <t>FEITO MONITORAMENTO POR MEIO DE PLANILHA</t>
  </si>
  <si>
    <t>Isaac</t>
  </si>
  <si>
    <t xml:space="preserve">Reduzir o consumo de água em relação a 2022 em pelo menos 10% </t>
  </si>
  <si>
    <t>Ailton/Leo</t>
  </si>
  <si>
    <t>Reduzir o gasto em valor do consumo de energia elétrica em até 10% em relação a 2022</t>
  </si>
  <si>
    <t>Objetivo 12</t>
  </si>
  <si>
    <t>Proporcionar aos clientes serviços de qualidade compatíveis ao padrão de serviço do Hotel</t>
  </si>
  <si>
    <t>Objetivo 8</t>
  </si>
  <si>
    <t>Propiciar segurança aos clientes e colaboradores através de práticas operacionais responsáveis</t>
  </si>
  <si>
    <t>Atender aos requisitos legais aplicáveis aos meios de hospedagem</t>
  </si>
  <si>
    <t>Incentivar fornecedores, colaboradores e clientes em práticas de responsabilidade socioambiental</t>
  </si>
  <si>
    <t>Desenvolver ações de proteção à criança e ao adolescente</t>
  </si>
  <si>
    <t>OBSERVAÇÃO</t>
  </si>
  <si>
    <t>Veicular açoes de divulgação do parque das donas na TV</t>
  </si>
  <si>
    <t xml:space="preserve">OBJETIVOS E METAS </t>
  </si>
  <si>
    <t>AVALIAÇÃO DA EFICÁCIA DA AÇÃO</t>
  </si>
  <si>
    <t>DATA-OBS</t>
  </si>
  <si>
    <t>AÇÃO FEITA DIARIAMENTO PELO SETOR DE COMPRAS</t>
  </si>
  <si>
    <t>Otimizar o planejamento de compras para redução no consumo de combustível</t>
  </si>
  <si>
    <t>Cumprir plano de ação previsto para atendimento à Portaria Interministerial MTur/MMFDH 272, de 26/08/2019</t>
  </si>
  <si>
    <t>Identificar programas de saúde das comunidades locais que possam ser apoiados pelo Hotel e realizar o apoio como apropriado</t>
  </si>
  <si>
    <t>Divulgar as ações voluntárias identificadas aos colaboradores e implementar registros de suas participações</t>
  </si>
  <si>
    <t>Realizar evento de gastronomia envolvendo os alunos da escola</t>
  </si>
  <si>
    <t>Fixação da TV / Divulgação no instagram do Hotel</t>
  </si>
  <si>
    <t>Divulgação sendo feita nos Murais nos ambientes do hotel</t>
  </si>
  <si>
    <t>Murais nos ambientes do hotel / Divulgação no instagram do Hotel</t>
  </si>
  <si>
    <t>Realização feita através dos registro de gestão de mudança</t>
  </si>
  <si>
    <t>Ação no setor de Comunicação para produção do material</t>
  </si>
  <si>
    <t>Sendo realizado conforme revisão</t>
  </si>
  <si>
    <t>Em execução</t>
  </si>
  <si>
    <t>Ação Continua, devulgação fixada na TV / Divulgado da Semana do Meio Embiente no Parque</t>
  </si>
  <si>
    <t>•	 Açao de corte de cabelo e beleza (Carreta açao social) - (Ações a ser realizada pelo SESC e SENAC)
•	 Divulgação no carrinho de bagarem e nos display dos quartos</t>
  </si>
  <si>
    <t>• 	Venda de produtos da lojinha de artesanato pela recepção.
• 	Ação pascoa mais feliz , arrecadação de chocolate para doação na comunidade -em Abril/2023</t>
  </si>
  <si>
    <t>• 	Realizado Noite Potiguar no dia -07-06-2023
• 	Realizado Noite sabores do mediterrâneo – 04-07-2023</t>
  </si>
  <si>
    <t xml:space="preserve">•	 AÇÃO CONTINUA
•	 Realização de Treinamento sobre exploração sexual </t>
  </si>
  <si>
    <t xml:space="preserve">• 	Ação continua
• 	Realização de Auditoria interna para verificar se o Sistema de Gestão da Sustentabilidade da organização está conforme com os requisitos da organização,
com os requisitos da norma ABNT NBR ISO 21401:2020 e se está implementado e mantido eficazmente.
• 	Realização da Auditoria externa </t>
  </si>
  <si>
    <t>DATA PREVISTA</t>
  </si>
  <si>
    <t>DATA REALIZADO</t>
  </si>
  <si>
    <t>Cumprir os diversos planos existente no sistema</t>
  </si>
  <si>
    <t>Implementar mecanismo para informar aos clientes o comprometimento do Hotel com a economia de energia e encorajar o seu envolvimento
mediante campanhas de economia dirigidas aos clientes e aos colaboradores</t>
  </si>
  <si>
    <t>FORTE</t>
  </si>
  <si>
    <t>MODERADA</t>
  </si>
  <si>
    <t>POLITICA-1</t>
  </si>
  <si>
    <t>POLITICA-2</t>
  </si>
  <si>
    <t>POLITICA-3</t>
  </si>
  <si>
    <t>POLITICA-4</t>
  </si>
  <si>
    <t>POLITICA-5</t>
  </si>
  <si>
    <t>POLITICA-6</t>
  </si>
  <si>
    <t>POLITICA-7</t>
  </si>
  <si>
    <t>POLITICA-8</t>
  </si>
  <si>
    <t>-</t>
  </si>
  <si>
    <t>EFICAZ</t>
  </si>
  <si>
    <t>Rótulos de Linha</t>
  </si>
  <si>
    <t>Contagem de AÇÃO</t>
  </si>
  <si>
    <t>Em andamento</t>
  </si>
  <si>
    <t>GRAFICO-1</t>
  </si>
  <si>
    <t>GRAFICO-2</t>
  </si>
  <si>
    <t>GRAFICO-3</t>
  </si>
  <si>
    <t>GRAFICO-4</t>
  </si>
  <si>
    <t>Date</t>
  </si>
  <si>
    <t>REAL</t>
  </si>
  <si>
    <t>%</t>
  </si>
  <si>
    <t>PREV</t>
  </si>
  <si>
    <t>PLANOS DE AÇÕES :</t>
  </si>
  <si>
    <t>(Vários itens)</t>
  </si>
  <si>
    <r>
      <rPr>
        <b/>
        <sz val="28"/>
        <color theme="5"/>
        <rFont val="Calibri"/>
        <family val="2"/>
        <scheme val="minor"/>
      </rPr>
      <t xml:space="preserve">DASHBOARD </t>
    </r>
    <r>
      <rPr>
        <sz val="28"/>
        <color theme="3"/>
        <rFont val="Calibri"/>
        <family val="2"/>
        <scheme val="minor"/>
      </rPr>
      <t>-</t>
    </r>
    <r>
      <rPr>
        <b/>
        <sz val="28"/>
        <color theme="3"/>
        <rFont val="Calibri"/>
        <family val="2"/>
        <scheme val="minor"/>
      </rPr>
      <t xml:space="preserve"> </t>
    </r>
    <r>
      <rPr>
        <i/>
        <sz val="28"/>
        <color theme="3"/>
        <rFont val="Calibri Light"/>
        <family val="2"/>
        <scheme val="major"/>
      </rPr>
      <t>Acompanhamento do Plano de Ações sobre objetivos e metas</t>
    </r>
  </si>
  <si>
    <t>Question/Input :</t>
  </si>
  <si>
    <t>INPUT</t>
  </si>
  <si>
    <t>RESPOSTA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</si>
</sst>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6]d\-mmm;@"/>
  </numFmts>
  <fonts count="22" x14ac:knownFonts="1">
    <font>
      <sz val="10"/>
      <name val="Arial"/>
    </font>
    <font>
      <sz val="1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9"/>
      <name val="Calibri"/>
      <family val="2"/>
      <scheme val="minor"/>
    </font>
    <font>
      <sz val="8"/>
      <name val="Arial"/>
      <family val="2"/>
    </font>
    <font>
      <i/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28"/>
      <color theme="5"/>
      <name val="Calibri"/>
      <family val="2"/>
      <scheme val="minor"/>
    </font>
    <font>
      <sz val="28"/>
      <color theme="3"/>
      <name val="Calibri"/>
      <family val="2"/>
      <scheme val="minor"/>
    </font>
    <font>
      <i/>
      <sz val="28"/>
      <color theme="3"/>
      <name val="Calibri Light"/>
      <family val="2"/>
      <scheme val="major"/>
    </font>
    <font>
      <b/>
      <sz val="12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5"/>
      </bottom>
      <diagonal/>
    </border>
    <border>
      <left/>
      <right style="dotted">
        <color theme="5"/>
      </right>
      <top/>
      <bottom/>
      <diagonal/>
    </border>
    <border>
      <left style="dotted">
        <color theme="5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theme="2" tint="-9.9948118533890809E-2"/>
      </left>
      <right style="medium">
        <color theme="2" tint="-9.9948118533890809E-2"/>
      </right>
      <top/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2" tint="-9.9948118533890809E-2"/>
      </right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 style="medium">
        <color theme="2" tint="-0.24994659260841701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medium">
        <color theme="2" tint="-0.24994659260841701"/>
      </left>
      <right style="medium">
        <color theme="2" tint="-9.9948118533890809E-2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 indent="1"/>
    </xf>
    <xf numFmtId="0" fontId="7" fillId="3" borderId="0" xfId="0" applyFont="1" applyFill="1" applyAlignment="1">
      <alignment horizontal="center"/>
    </xf>
    <xf numFmtId="0" fontId="8" fillId="0" borderId="0" xfId="0" applyFont="1"/>
    <xf numFmtId="0" fontId="6" fillId="3" borderId="0" xfId="0" applyFont="1" applyFill="1" applyAlignment="1">
      <alignment horizontal="center"/>
    </xf>
    <xf numFmtId="0" fontId="1" fillId="3" borderId="0" xfId="0" applyFont="1" applyFill="1"/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3" xfId="0" applyFont="1" applyBorder="1" applyAlignment="1">
      <alignment horizontal="left" indent="1"/>
    </xf>
    <xf numFmtId="0" fontId="0" fillId="4" borderId="0" xfId="0" applyFill="1"/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9" fillId="0" borderId="7" xfId="0" applyFont="1" applyBorder="1" applyAlignment="1">
      <alignment horizontal="center" vertical="center"/>
    </xf>
    <xf numFmtId="9" fontId="10" fillId="0" borderId="7" xfId="0" applyNumberFormat="1" applyFont="1" applyBorder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1" fillId="0" borderId="0" xfId="0" applyNumberFormat="1" applyFont="1"/>
    <xf numFmtId="0" fontId="1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 indent="1"/>
    </xf>
    <xf numFmtId="0" fontId="1" fillId="0" borderId="10" xfId="0" applyFont="1" applyBorder="1"/>
    <xf numFmtId="0" fontId="0" fillId="0" borderId="9" xfId="0" applyBorder="1"/>
    <xf numFmtId="0" fontId="0" fillId="0" borderId="10" xfId="0" applyBorder="1"/>
    <xf numFmtId="0" fontId="1" fillId="0" borderId="9" xfId="0" applyFont="1" applyBorder="1"/>
    <xf numFmtId="0" fontId="1" fillId="0" borderId="12" xfId="0" pivotButton="1" applyFont="1" applyBorder="1"/>
    <xf numFmtId="0" fontId="1" fillId="0" borderId="13" xfId="0" applyFont="1" applyBorder="1"/>
    <xf numFmtId="0" fontId="0" fillId="0" borderId="12" xfId="0" applyBorder="1"/>
    <xf numFmtId="0" fontId="0" fillId="0" borderId="13" xfId="0" applyBorder="1"/>
    <xf numFmtId="0" fontId="1" fillId="0" borderId="12" xfId="0" applyFont="1" applyBorder="1"/>
    <xf numFmtId="0" fontId="1" fillId="6" borderId="0" xfId="0" applyFont="1" applyFill="1"/>
    <xf numFmtId="0" fontId="2" fillId="6" borderId="0" xfId="0" applyFont="1" applyFill="1" applyAlignment="1">
      <alignment horizontal="left" indent="1"/>
    </xf>
    <xf numFmtId="0" fontId="15" fillId="0" borderId="12" xfId="0" applyFont="1" applyBorder="1" applyAlignment="1">
      <alignment horizontal="left" indent="1"/>
    </xf>
    <xf numFmtId="0" fontId="15" fillId="0" borderId="13" xfId="0" applyFont="1" applyBorder="1" applyAlignment="1">
      <alignment horizontal="left" indent="1"/>
    </xf>
    <xf numFmtId="0" fontId="15" fillId="6" borderId="0" xfId="0" applyFont="1" applyFill="1" applyAlignment="1">
      <alignment horizontal="left" indent="1"/>
    </xf>
    <xf numFmtId="0" fontId="15" fillId="0" borderId="9" xfId="0" applyFont="1" applyBorder="1" applyAlignment="1">
      <alignment horizontal="left" indent="1"/>
    </xf>
    <xf numFmtId="0" fontId="16" fillId="0" borderId="10" xfId="0" applyFont="1" applyBorder="1" applyAlignment="1">
      <alignment horizontal="left" indent="1"/>
    </xf>
    <xf numFmtId="0" fontId="1" fillId="0" borderId="11" xfId="0" applyNumberFormat="1" applyFont="1" applyBorder="1"/>
    <xf numFmtId="0" fontId="1" fillId="0" borderId="11" xfId="0" pivotButton="1" applyFont="1" applyBorder="1"/>
    <xf numFmtId="0" fontId="1" fillId="0" borderId="11" xfId="0" applyFont="1" applyBorder="1" applyAlignment="1">
      <alignment horizontal="left"/>
    </xf>
    <xf numFmtId="0" fontId="1" fillId="0" borderId="11" xfId="0" applyFont="1" applyBorder="1"/>
    <xf numFmtId="9" fontId="1" fillId="0" borderId="8" xfId="0" applyNumberFormat="1" applyFont="1" applyBorder="1"/>
    <xf numFmtId="0" fontId="1" fillId="0" borderId="8" xfId="0" pivotButton="1" applyFont="1" applyBorder="1"/>
    <xf numFmtId="0" fontId="1" fillId="0" borderId="8" xfId="0" applyFont="1" applyBorder="1" applyAlignment="1">
      <alignment horizontal="left"/>
    </xf>
    <xf numFmtId="0" fontId="1" fillId="0" borderId="8" xfId="0" applyFont="1" applyBorder="1"/>
    <xf numFmtId="0" fontId="1" fillId="0" borderId="14" xfId="0" applyNumberFormat="1" applyFont="1" applyBorder="1"/>
    <xf numFmtId="0" fontId="1" fillId="0" borderId="14" xfId="0" pivotButton="1" applyFont="1" applyBorder="1"/>
    <xf numFmtId="0" fontId="1" fillId="0" borderId="14" xfId="0" applyFont="1" applyBorder="1"/>
    <xf numFmtId="164" fontId="1" fillId="0" borderId="14" xfId="0" applyNumberFormat="1" applyFont="1" applyBorder="1" applyAlignment="1">
      <alignment horizontal="left"/>
    </xf>
    <xf numFmtId="0" fontId="1" fillId="0" borderId="8" xfId="0" applyFont="1" applyBorder="1" applyAlignment="1">
      <alignment horizontal="left" indent="1"/>
    </xf>
    <xf numFmtId="0" fontId="17" fillId="7" borderId="8" xfId="0" applyFont="1" applyFill="1" applyBorder="1" applyAlignment="1">
      <alignment horizontal="left" indent="1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8" fillId="0" borderId="0" xfId="0" applyFont="1" applyAlignment="1">
      <alignment horizontal="right" vertical="center"/>
    </xf>
    <xf numFmtId="0" fontId="19" fillId="0" borderId="15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20" fillId="0" borderId="0" xfId="0" applyFont="1"/>
    <xf numFmtId="0" fontId="21" fillId="0" borderId="0" xfId="0" applyFont="1"/>
  </cellXfs>
  <cellStyles count="1">
    <cellStyle name="Normal" xfId="0" builtinId="0"/>
  </cellStyles>
  <dxfs count="102">
    <dxf>
      <fill>
        <patternFill patternType="solid">
          <bgColor theme="5" tint="0.79998168889431442"/>
        </patternFill>
      </fill>
    </dxf>
    <dxf>
      <font>
        <color theme="3"/>
      </font>
    </dxf>
    <dxf>
      <font>
        <sz val="12"/>
      </font>
    </dxf>
    <dxf>
      <alignment horizontal="left" relativeIndent="1"/>
    </dxf>
    <dxf>
      <alignment relativeIndent="1"/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[$-416]d\-mmm;@"/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border>
        <left style="medium">
          <color theme="2" tint="-9.9948118533890809E-2"/>
        </left>
        <right style="medium">
          <color theme="2" tint="-9.9948118533890809E-2"/>
        </right>
      </border>
    </dxf>
    <dxf>
      <numFmt numFmtId="13" formatCode="0%"/>
    </dxf>
    <dxf>
      <numFmt numFmtId="14" formatCode="0.0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border>
        <left style="medium">
          <color theme="2" tint="-0.24994659260841701"/>
        </left>
        <right style="medium">
          <color theme="2" tint="-0.24994659260841701"/>
        </right>
      </border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border>
        <left style="medium">
          <color theme="2" tint="-0.24994659260841701"/>
        </left>
        <right style="medium">
          <color theme="2" tint="-9.9948118533890809E-2"/>
        </right>
      </border>
    </dxf>
    <dxf>
      <numFmt numFmtId="0" formatCode="General"/>
    </dxf>
    <dxf>
      <numFmt numFmtId="13" formatCode="0%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rgb="FF000000"/>
        </left>
        <right style="dotted">
          <color rgb="FF000000"/>
        </right>
        <top style="dotted">
          <color rgb="FF000000"/>
        </top>
        <bottom style="dotted">
          <color rgb="FF000000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numFmt numFmtId="21" formatCode="dd/mmm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vertAlign val="baseline"/>
        <name val="Calibri"/>
        <family val="2"/>
        <scheme val="minor"/>
      </font>
    </dxf>
    <dxf>
      <font>
        <b/>
        <i val="0"/>
        <sz val="12"/>
        <color theme="3"/>
        <name val="Calibri"/>
        <family val="2"/>
        <scheme val="minor"/>
      </font>
      <border>
        <bottom style="thin">
          <color theme="4"/>
        </bottom>
        <vertical/>
        <horizontal/>
      </border>
    </dxf>
    <dxf>
      <font>
        <b val="0"/>
        <i val="0"/>
        <sz val="8"/>
        <color theme="3"/>
        <name val="Calibri"/>
        <family val="2"/>
        <scheme val="minor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Dark1 2" pivot="0" table="0" count="10" xr9:uid="{E0916A1E-D79A-41D0-838B-4E58851839A0}">
      <tableStyleElement type="wholeTable" dxfId="101"/>
      <tableStyleElement type="headerRow" dxfId="100"/>
    </tableStyle>
  </tableStyles>
  <colors>
    <mruColors>
      <color rgb="FFB1D2ED"/>
      <color rgb="FFFFC993"/>
      <color rgb="FFFFFF93"/>
      <color rgb="FFFFB03B"/>
      <color rgb="FFFFFF97"/>
      <color rgb="FFB7E7FF"/>
      <color rgb="FF89D8FF"/>
      <color rgb="FF99FF6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9.xml"/><Relationship Id="rId23" Type="http://schemas.openxmlformats.org/officeDocument/2006/relationships/calcChain" Target="calcChain.xml"/><Relationship Id="rId10" Type="http://schemas.microsoft.com/office/2007/relationships/slicerCache" Target="slicerCaches/slicerCache4.xml"/><Relationship Id="rId19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[Plano_Sobre_Objetivos_e_Metas-v2.xlsm]td_Dados!Tabela dinâmica1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Objetivos x qntde</a:t>
            </a:r>
          </a:p>
        </c:rich>
      </c:tx>
      <c:layout>
        <c:manualLayout>
          <c:xMode val="edge"/>
          <c:yMode val="edge"/>
          <c:x val="3.659011373578302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td_Dados!$C$4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td_Dados!$B$5:$B$16</c:f>
              <c:strCache>
                <c:ptCount val="12"/>
                <c:pt idx="0">
                  <c:v>Objetivo 11</c:v>
                </c:pt>
                <c:pt idx="1">
                  <c:v>Objetivo 1</c:v>
                </c:pt>
                <c:pt idx="2">
                  <c:v>Objetivo 6</c:v>
                </c:pt>
                <c:pt idx="3">
                  <c:v>Objetivo 10</c:v>
                </c:pt>
                <c:pt idx="4">
                  <c:v>Objetivo 7</c:v>
                </c:pt>
                <c:pt idx="5">
                  <c:v>Objetivo 12</c:v>
                </c:pt>
                <c:pt idx="6">
                  <c:v>Objetivo 5</c:v>
                </c:pt>
                <c:pt idx="7">
                  <c:v>Objetivo 2</c:v>
                </c:pt>
                <c:pt idx="8">
                  <c:v>Objetivo 9</c:v>
                </c:pt>
                <c:pt idx="9">
                  <c:v>Objetivo 8</c:v>
                </c:pt>
                <c:pt idx="10">
                  <c:v>Objetivo 4</c:v>
                </c:pt>
                <c:pt idx="11">
                  <c:v>Objetivo 3</c:v>
                </c:pt>
              </c:strCache>
            </c:strRef>
          </c:cat>
          <c:val>
            <c:numRef>
              <c:f>td_Dados!$C$5:$C$16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7-4CA4-A9C0-F15288496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372162000"/>
        <c:axId val="1372145776"/>
      </c:barChart>
      <c:catAx>
        <c:axId val="13721620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2145776"/>
        <c:crosses val="autoZero"/>
        <c:auto val="1"/>
        <c:lblAlgn val="ctr"/>
        <c:lblOffset val="100"/>
        <c:noMultiLvlLbl val="0"/>
      </c:catAx>
      <c:valAx>
        <c:axId val="137214577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37216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[Plano_Sobre_Objetivos_e_Metas-v2.xlsm]td_Dados!Tabela dinâmica2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Status</a:t>
            </a:r>
          </a:p>
        </c:rich>
      </c:tx>
      <c:layout>
        <c:manualLayout>
          <c:xMode val="edge"/>
          <c:yMode val="edge"/>
          <c:x val="3.8299663299663271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16508921233331"/>
          <c:y val="0.11628864100320793"/>
          <c:w val="0.80230785545746175"/>
          <c:h val="0.7587113589967921"/>
        </c:manualLayout>
      </c:layout>
      <c:doughnutChart>
        <c:varyColors val="1"/>
        <c:ser>
          <c:idx val="0"/>
          <c:order val="0"/>
          <c:tx>
            <c:strRef>
              <c:f>td_Dados!$F$4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E-413F-AA20-19BB612B11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td_Dados!$E$5</c:f>
              <c:strCache>
                <c:ptCount val="1"/>
                <c:pt idx="0">
                  <c:v>Em andamento</c:v>
                </c:pt>
              </c:strCache>
            </c:strRef>
          </c:cat>
          <c:val>
            <c:numRef>
              <c:f>td_Dados!$F$5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27-4453-A98B-D93D39EC2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[Plano_Sobre_Objetivos_e_Metas-v2.xlsm]td_Dados!Tabela dinâmica3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Responsáveis x qntde</a:t>
            </a:r>
          </a:p>
        </c:rich>
      </c:tx>
      <c:layout>
        <c:manualLayout>
          <c:xMode val="edge"/>
          <c:yMode val="edge"/>
          <c:x val="3.5073673358594876E-2"/>
          <c:y val="2.6548672566371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td_Dados!$I$4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td_Dados!$H$5:$H$12</c:f>
              <c:strCache>
                <c:ptCount val="8"/>
                <c:pt idx="0">
                  <c:v>Leo</c:v>
                </c:pt>
                <c:pt idx="1">
                  <c:v>Ailton</c:v>
                </c:pt>
                <c:pt idx="2">
                  <c:v>Celso</c:v>
                </c:pt>
                <c:pt idx="3">
                  <c:v>Ailton/Leo</c:v>
                </c:pt>
                <c:pt idx="4">
                  <c:v>Todos </c:v>
                </c:pt>
                <c:pt idx="5">
                  <c:v>Celso/Waldecio</c:v>
                </c:pt>
                <c:pt idx="6">
                  <c:v>Ailton/Sara</c:v>
                </c:pt>
                <c:pt idx="7">
                  <c:v>Isaac</c:v>
                </c:pt>
              </c:strCache>
            </c:strRef>
          </c:cat>
          <c:val>
            <c:numRef>
              <c:f>td_Dados!$I$5:$I$12</c:f>
              <c:numCache>
                <c:formatCode>General</c:formatCode>
                <c:ptCount val="8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EF-42E0-9648-079B9A9FF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-27"/>
        <c:axId val="593022111"/>
        <c:axId val="593042079"/>
      </c:barChart>
      <c:catAx>
        <c:axId val="593022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42079"/>
        <c:crosses val="autoZero"/>
        <c:auto val="1"/>
        <c:lblAlgn val="ctr"/>
        <c:lblOffset val="100"/>
        <c:noMultiLvlLbl val="0"/>
      </c:catAx>
      <c:valAx>
        <c:axId val="59304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3022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2">
                    <a:lumMod val="50000"/>
                  </a:schemeClr>
                </a:solidFill>
              </a:rPr>
              <a:t>Previsto x Realizado</a:t>
            </a:r>
          </a:p>
        </c:rich>
      </c:tx>
      <c:layout>
        <c:manualLayout>
          <c:xMode val="edge"/>
          <c:yMode val="edge"/>
          <c:x val="1.202370231211977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DoD_Graf!$C$2</c:f>
              <c:strCache>
                <c:ptCount val="1"/>
                <c:pt idx="0">
                  <c:v>PREV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numRef>
              <c:f>DoD_Graf!$B$3:$B$155</c:f>
              <c:numCache>
                <c:formatCode>d\-mmm</c:formatCode>
                <c:ptCount val="153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</c:numCache>
            </c:numRef>
          </c:cat>
          <c:val>
            <c:numRef>
              <c:f>DoD_Graf!$C$3:$C$155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13</c:v>
                </c:pt>
                <c:pt idx="15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0-4A16-951E-FE75E547F731}"/>
            </c:ext>
          </c:extLst>
        </c:ser>
        <c:ser>
          <c:idx val="1"/>
          <c:order val="1"/>
          <c:tx>
            <c:strRef>
              <c:f>DoD_Graf!$D$2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DoD_Graf!$B$3:$B$155</c:f>
              <c:numCache>
                <c:formatCode>d\-mmm</c:formatCode>
                <c:ptCount val="153"/>
                <c:pt idx="0">
                  <c:v>45139</c:v>
                </c:pt>
                <c:pt idx="1">
                  <c:v>45140</c:v>
                </c:pt>
                <c:pt idx="2">
                  <c:v>45141</c:v>
                </c:pt>
                <c:pt idx="3">
                  <c:v>45142</c:v>
                </c:pt>
                <c:pt idx="4">
                  <c:v>45143</c:v>
                </c:pt>
                <c:pt idx="5">
                  <c:v>45144</c:v>
                </c:pt>
                <c:pt idx="6">
                  <c:v>45145</c:v>
                </c:pt>
                <c:pt idx="7">
                  <c:v>45146</c:v>
                </c:pt>
                <c:pt idx="8">
                  <c:v>45147</c:v>
                </c:pt>
                <c:pt idx="9">
                  <c:v>45148</c:v>
                </c:pt>
                <c:pt idx="10">
                  <c:v>45149</c:v>
                </c:pt>
                <c:pt idx="11">
                  <c:v>45150</c:v>
                </c:pt>
                <c:pt idx="12">
                  <c:v>45151</c:v>
                </c:pt>
                <c:pt idx="13">
                  <c:v>45152</c:v>
                </c:pt>
                <c:pt idx="14">
                  <c:v>45153</c:v>
                </c:pt>
                <c:pt idx="15">
                  <c:v>45154</c:v>
                </c:pt>
                <c:pt idx="16">
                  <c:v>45155</c:v>
                </c:pt>
                <c:pt idx="17">
                  <c:v>45156</c:v>
                </c:pt>
                <c:pt idx="18">
                  <c:v>45157</c:v>
                </c:pt>
                <c:pt idx="19">
                  <c:v>45158</c:v>
                </c:pt>
                <c:pt idx="20">
                  <c:v>45159</c:v>
                </c:pt>
                <c:pt idx="21">
                  <c:v>45160</c:v>
                </c:pt>
                <c:pt idx="22">
                  <c:v>45161</c:v>
                </c:pt>
                <c:pt idx="23">
                  <c:v>45162</c:v>
                </c:pt>
                <c:pt idx="24">
                  <c:v>45163</c:v>
                </c:pt>
                <c:pt idx="25">
                  <c:v>45164</c:v>
                </c:pt>
                <c:pt idx="26">
                  <c:v>45165</c:v>
                </c:pt>
                <c:pt idx="27">
                  <c:v>45166</c:v>
                </c:pt>
                <c:pt idx="28">
                  <c:v>45167</c:v>
                </c:pt>
                <c:pt idx="29">
                  <c:v>45168</c:v>
                </c:pt>
                <c:pt idx="30">
                  <c:v>45169</c:v>
                </c:pt>
                <c:pt idx="31">
                  <c:v>45170</c:v>
                </c:pt>
                <c:pt idx="32">
                  <c:v>45171</c:v>
                </c:pt>
                <c:pt idx="33">
                  <c:v>45172</c:v>
                </c:pt>
                <c:pt idx="34">
                  <c:v>45173</c:v>
                </c:pt>
                <c:pt idx="35">
                  <c:v>45174</c:v>
                </c:pt>
                <c:pt idx="36">
                  <c:v>45175</c:v>
                </c:pt>
                <c:pt idx="37">
                  <c:v>45176</c:v>
                </c:pt>
                <c:pt idx="38">
                  <c:v>45177</c:v>
                </c:pt>
                <c:pt idx="39">
                  <c:v>45178</c:v>
                </c:pt>
                <c:pt idx="40">
                  <c:v>45179</c:v>
                </c:pt>
                <c:pt idx="41">
                  <c:v>45180</c:v>
                </c:pt>
                <c:pt idx="42">
                  <c:v>45181</c:v>
                </c:pt>
                <c:pt idx="43">
                  <c:v>45182</c:v>
                </c:pt>
                <c:pt idx="44">
                  <c:v>45183</c:v>
                </c:pt>
                <c:pt idx="45">
                  <c:v>45184</c:v>
                </c:pt>
                <c:pt idx="46">
                  <c:v>45185</c:v>
                </c:pt>
                <c:pt idx="47">
                  <c:v>45186</c:v>
                </c:pt>
                <c:pt idx="48">
                  <c:v>45187</c:v>
                </c:pt>
                <c:pt idx="49">
                  <c:v>45188</c:v>
                </c:pt>
                <c:pt idx="50">
                  <c:v>45189</c:v>
                </c:pt>
                <c:pt idx="51">
                  <c:v>45190</c:v>
                </c:pt>
                <c:pt idx="52">
                  <c:v>45191</c:v>
                </c:pt>
                <c:pt idx="53">
                  <c:v>45192</c:v>
                </c:pt>
                <c:pt idx="54">
                  <c:v>45193</c:v>
                </c:pt>
                <c:pt idx="55">
                  <c:v>45194</c:v>
                </c:pt>
                <c:pt idx="56">
                  <c:v>45195</c:v>
                </c:pt>
                <c:pt idx="57">
                  <c:v>45196</c:v>
                </c:pt>
                <c:pt idx="58">
                  <c:v>45197</c:v>
                </c:pt>
                <c:pt idx="59">
                  <c:v>45198</c:v>
                </c:pt>
                <c:pt idx="60">
                  <c:v>45199</c:v>
                </c:pt>
                <c:pt idx="61">
                  <c:v>45200</c:v>
                </c:pt>
                <c:pt idx="62">
                  <c:v>45201</c:v>
                </c:pt>
                <c:pt idx="63">
                  <c:v>45202</c:v>
                </c:pt>
                <c:pt idx="64">
                  <c:v>45203</c:v>
                </c:pt>
                <c:pt idx="65">
                  <c:v>45204</c:v>
                </c:pt>
                <c:pt idx="66">
                  <c:v>45205</c:v>
                </c:pt>
                <c:pt idx="67">
                  <c:v>45206</c:v>
                </c:pt>
                <c:pt idx="68">
                  <c:v>45207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45213</c:v>
                </c:pt>
                <c:pt idx="75">
                  <c:v>45214</c:v>
                </c:pt>
                <c:pt idx="76">
                  <c:v>45215</c:v>
                </c:pt>
                <c:pt idx="77">
                  <c:v>45216</c:v>
                </c:pt>
                <c:pt idx="78">
                  <c:v>45217</c:v>
                </c:pt>
                <c:pt idx="79">
                  <c:v>45218</c:v>
                </c:pt>
                <c:pt idx="80">
                  <c:v>45219</c:v>
                </c:pt>
                <c:pt idx="81">
                  <c:v>45220</c:v>
                </c:pt>
                <c:pt idx="82">
                  <c:v>45221</c:v>
                </c:pt>
                <c:pt idx="83">
                  <c:v>45222</c:v>
                </c:pt>
                <c:pt idx="84">
                  <c:v>45223</c:v>
                </c:pt>
                <c:pt idx="85">
                  <c:v>45224</c:v>
                </c:pt>
                <c:pt idx="86">
                  <c:v>45225</c:v>
                </c:pt>
                <c:pt idx="87">
                  <c:v>45226</c:v>
                </c:pt>
                <c:pt idx="88">
                  <c:v>45227</c:v>
                </c:pt>
                <c:pt idx="89">
                  <c:v>45228</c:v>
                </c:pt>
                <c:pt idx="90">
                  <c:v>45229</c:v>
                </c:pt>
                <c:pt idx="91">
                  <c:v>45230</c:v>
                </c:pt>
                <c:pt idx="92">
                  <c:v>45231</c:v>
                </c:pt>
                <c:pt idx="93">
                  <c:v>45232</c:v>
                </c:pt>
                <c:pt idx="94">
                  <c:v>45233</c:v>
                </c:pt>
                <c:pt idx="95">
                  <c:v>45234</c:v>
                </c:pt>
                <c:pt idx="96">
                  <c:v>45235</c:v>
                </c:pt>
                <c:pt idx="97">
                  <c:v>45236</c:v>
                </c:pt>
                <c:pt idx="98">
                  <c:v>45237</c:v>
                </c:pt>
                <c:pt idx="99">
                  <c:v>45238</c:v>
                </c:pt>
                <c:pt idx="100">
                  <c:v>45239</c:v>
                </c:pt>
                <c:pt idx="101">
                  <c:v>45240</c:v>
                </c:pt>
                <c:pt idx="102">
                  <c:v>45241</c:v>
                </c:pt>
                <c:pt idx="103">
                  <c:v>45242</c:v>
                </c:pt>
                <c:pt idx="104">
                  <c:v>45243</c:v>
                </c:pt>
                <c:pt idx="105">
                  <c:v>45244</c:v>
                </c:pt>
                <c:pt idx="106">
                  <c:v>45245</c:v>
                </c:pt>
                <c:pt idx="107">
                  <c:v>45246</c:v>
                </c:pt>
                <c:pt idx="108">
                  <c:v>45247</c:v>
                </c:pt>
                <c:pt idx="109">
                  <c:v>45248</c:v>
                </c:pt>
                <c:pt idx="110">
                  <c:v>45249</c:v>
                </c:pt>
                <c:pt idx="111">
                  <c:v>45250</c:v>
                </c:pt>
                <c:pt idx="112">
                  <c:v>45251</c:v>
                </c:pt>
                <c:pt idx="113">
                  <c:v>45252</c:v>
                </c:pt>
                <c:pt idx="114">
                  <c:v>45253</c:v>
                </c:pt>
                <c:pt idx="115">
                  <c:v>45254</c:v>
                </c:pt>
                <c:pt idx="116">
                  <c:v>45255</c:v>
                </c:pt>
                <c:pt idx="117">
                  <c:v>45256</c:v>
                </c:pt>
                <c:pt idx="118">
                  <c:v>45257</c:v>
                </c:pt>
                <c:pt idx="119">
                  <c:v>45258</c:v>
                </c:pt>
                <c:pt idx="120">
                  <c:v>45259</c:v>
                </c:pt>
                <c:pt idx="121">
                  <c:v>45260</c:v>
                </c:pt>
                <c:pt idx="122">
                  <c:v>45261</c:v>
                </c:pt>
                <c:pt idx="123">
                  <c:v>45262</c:v>
                </c:pt>
                <c:pt idx="124">
                  <c:v>45263</c:v>
                </c:pt>
                <c:pt idx="125">
                  <c:v>45264</c:v>
                </c:pt>
                <c:pt idx="126">
                  <c:v>45265</c:v>
                </c:pt>
                <c:pt idx="127">
                  <c:v>45266</c:v>
                </c:pt>
                <c:pt idx="128">
                  <c:v>45267</c:v>
                </c:pt>
                <c:pt idx="129">
                  <c:v>45268</c:v>
                </c:pt>
                <c:pt idx="130">
                  <c:v>45269</c:v>
                </c:pt>
                <c:pt idx="131">
                  <c:v>45270</c:v>
                </c:pt>
                <c:pt idx="132">
                  <c:v>45271</c:v>
                </c:pt>
                <c:pt idx="133">
                  <c:v>45272</c:v>
                </c:pt>
                <c:pt idx="134">
                  <c:v>45273</c:v>
                </c:pt>
                <c:pt idx="135">
                  <c:v>45274</c:v>
                </c:pt>
                <c:pt idx="136">
                  <c:v>45275</c:v>
                </c:pt>
                <c:pt idx="137">
                  <c:v>45276</c:v>
                </c:pt>
                <c:pt idx="138">
                  <c:v>45277</c:v>
                </c:pt>
                <c:pt idx="139">
                  <c:v>45278</c:v>
                </c:pt>
                <c:pt idx="140">
                  <c:v>45279</c:v>
                </c:pt>
                <c:pt idx="141">
                  <c:v>45280</c:v>
                </c:pt>
                <c:pt idx="142">
                  <c:v>45281</c:v>
                </c:pt>
                <c:pt idx="143">
                  <c:v>45282</c:v>
                </c:pt>
                <c:pt idx="144">
                  <c:v>45283</c:v>
                </c:pt>
                <c:pt idx="145">
                  <c:v>45284</c:v>
                </c:pt>
                <c:pt idx="146">
                  <c:v>45285</c:v>
                </c:pt>
                <c:pt idx="147">
                  <c:v>45286</c:v>
                </c:pt>
                <c:pt idx="148">
                  <c:v>45287</c:v>
                </c:pt>
                <c:pt idx="149">
                  <c:v>45288</c:v>
                </c:pt>
                <c:pt idx="150">
                  <c:v>45289</c:v>
                </c:pt>
                <c:pt idx="151">
                  <c:v>45290</c:v>
                </c:pt>
                <c:pt idx="152">
                  <c:v>45291</c:v>
                </c:pt>
              </c:numCache>
            </c:numRef>
          </c:cat>
          <c:val>
            <c:numRef>
              <c:f>DoD_Graf!$D$3:$D$155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0-4A16-951E-FE75E547F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593043743"/>
        <c:axId val="593044159"/>
      </c:barChart>
      <c:dateAx>
        <c:axId val="59304374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3044159"/>
        <c:crosses val="autoZero"/>
        <c:auto val="1"/>
        <c:lblOffset val="100"/>
        <c:baseTimeUnit val="days"/>
        <c:majorUnit val="7"/>
        <c:majorTimeUnit val="days"/>
      </c:dateAx>
      <c:valAx>
        <c:axId val="5930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304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39</xdr:row>
      <xdr:rowOff>68580</xdr:rowOff>
    </xdr:from>
    <xdr:to>
      <xdr:col>2</xdr:col>
      <xdr:colOff>2802467</xdr:colOff>
      <xdr:row>67</xdr:row>
      <xdr:rowOff>73251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81DF8A-6868-447B-B512-3FEBD9C1D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45720</xdr:colOff>
      <xdr:row>31</xdr:row>
      <xdr:rowOff>0</xdr:rowOff>
    </xdr:from>
    <xdr:to>
      <xdr:col>2</xdr:col>
      <xdr:colOff>3695700</xdr:colOff>
      <xdr:row>39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BJETIVOS E METAS ">
              <a:extLst>
                <a:ext uri="{FF2B5EF4-FFF2-40B4-BE49-F238E27FC236}">
                  <a16:creationId xmlns:a16="http://schemas.microsoft.com/office/drawing/2014/main" id="{2350E23A-4107-4156-BA2F-949B4C432A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JETIVOS E META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620" y="144780"/>
              <a:ext cx="3649980" cy="1363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3737610</xdr:colOff>
      <xdr:row>31</xdr:row>
      <xdr:rowOff>0</xdr:rowOff>
    </xdr:from>
    <xdr:to>
      <xdr:col>2</xdr:col>
      <xdr:colOff>6396990</xdr:colOff>
      <xdr:row>39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ESPONSAVEL">
              <a:extLst>
                <a:ext uri="{FF2B5EF4-FFF2-40B4-BE49-F238E27FC236}">
                  <a16:creationId xmlns:a16="http://schemas.microsoft.com/office/drawing/2014/main" id="{3EE62940-C056-4F80-B2B5-3A445F4D5B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9410" y="5435600"/>
              <a:ext cx="2659380" cy="13699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6428317</xdr:colOff>
      <xdr:row>31</xdr:row>
      <xdr:rowOff>0</xdr:rowOff>
    </xdr:from>
    <xdr:to>
      <xdr:col>2</xdr:col>
      <xdr:colOff>8251402</xdr:colOff>
      <xdr:row>39</xdr:row>
      <xdr:rowOff>22859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">
              <a:extLst>
                <a:ext uri="{FF2B5EF4-FFF2-40B4-BE49-F238E27FC236}">
                  <a16:creationId xmlns:a16="http://schemas.microsoft.com/office/drawing/2014/main" id="{A6B4A7E0-2085-416C-ACD1-8F09BF45B2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60117" y="5435600"/>
              <a:ext cx="1828800" cy="13699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8296911</xdr:colOff>
      <xdr:row>31</xdr:row>
      <xdr:rowOff>0</xdr:rowOff>
    </xdr:from>
    <xdr:to>
      <xdr:col>2</xdr:col>
      <xdr:colOff>10114281</xdr:colOff>
      <xdr:row>39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VALIAÇÃO DA EFICÁCIA DA AÇÃO">
              <a:extLst>
                <a:ext uri="{FF2B5EF4-FFF2-40B4-BE49-F238E27FC236}">
                  <a16:creationId xmlns:a16="http://schemas.microsoft.com/office/drawing/2014/main" id="{E43F6EF5-189A-481C-8B03-C6F446811F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VALIAÇÃO DA EFICÁCIA DA 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8711" y="5435600"/>
              <a:ext cx="1828800" cy="1354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2843530</xdr:colOff>
      <xdr:row>39</xdr:row>
      <xdr:rowOff>79585</xdr:rowOff>
    </xdr:from>
    <xdr:to>
      <xdr:col>2</xdr:col>
      <xdr:colOff>5883910</xdr:colOff>
      <xdr:row>67</xdr:row>
      <xdr:rowOff>59267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8CDE6DC-F239-42A2-A4D0-8862DC74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10163811</xdr:colOff>
      <xdr:row>31</xdr:row>
      <xdr:rowOff>0</xdr:rowOff>
    </xdr:from>
    <xdr:to>
      <xdr:col>3</xdr:col>
      <xdr:colOff>1045991</xdr:colOff>
      <xdr:row>34</xdr:row>
      <xdr:rowOff>98280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POLITICA-1">
              <a:extLst>
                <a:ext uri="{FF2B5EF4-FFF2-40B4-BE49-F238E27FC236}">
                  <a16:creationId xmlns:a16="http://schemas.microsoft.com/office/drawing/2014/main" id="{39A6A48A-832E-4DC8-87EA-9210CB36A9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5611" y="5435600"/>
              <a:ext cx="3039467" cy="606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10162964</xdr:colOff>
      <xdr:row>34</xdr:row>
      <xdr:rowOff>129541</xdr:rowOff>
    </xdr:from>
    <xdr:to>
      <xdr:col>3</xdr:col>
      <xdr:colOff>1045144</xdr:colOff>
      <xdr:row>38</xdr:row>
      <xdr:rowOff>60182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OLITICA-2">
              <a:extLst>
                <a:ext uri="{FF2B5EF4-FFF2-40B4-BE49-F238E27FC236}">
                  <a16:creationId xmlns:a16="http://schemas.microsoft.com/office/drawing/2014/main" id="{2688AD5F-7BDF-4750-8390-75A23CDAC0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4764" y="6073141"/>
              <a:ext cx="3039467" cy="607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10165080</xdr:colOff>
      <xdr:row>38</xdr:row>
      <xdr:rowOff>140970</xdr:rowOff>
    </xdr:from>
    <xdr:to>
      <xdr:col>3</xdr:col>
      <xdr:colOff>1047260</xdr:colOff>
      <xdr:row>42</xdr:row>
      <xdr:rowOff>56369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OLITICA-3">
              <a:extLst>
                <a:ext uri="{FF2B5EF4-FFF2-40B4-BE49-F238E27FC236}">
                  <a16:creationId xmlns:a16="http://schemas.microsoft.com/office/drawing/2014/main" id="{E37A98B2-FE62-4710-BD70-9AD1A5B14F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6880" y="6761903"/>
              <a:ext cx="3039467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10160000</xdr:colOff>
      <xdr:row>46</xdr:row>
      <xdr:rowOff>67733</xdr:rowOff>
    </xdr:from>
    <xdr:to>
      <xdr:col>3</xdr:col>
      <xdr:colOff>1046836</xdr:colOff>
      <xdr:row>50</xdr:row>
      <xdr:rowOff>490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LITICA-4">
              <a:extLst>
                <a:ext uri="{FF2B5EF4-FFF2-40B4-BE49-F238E27FC236}">
                  <a16:creationId xmlns:a16="http://schemas.microsoft.com/office/drawing/2014/main" id="{4279E89D-3463-49C3-A712-EAC0E4CB74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8043333"/>
              <a:ext cx="3047933" cy="61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10168466</xdr:colOff>
      <xdr:row>50</xdr:row>
      <xdr:rowOff>33020</xdr:rowOff>
    </xdr:from>
    <xdr:to>
      <xdr:col>3</xdr:col>
      <xdr:colOff>1066732</xdr:colOff>
      <xdr:row>53</xdr:row>
      <xdr:rowOff>135110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OLITICA-5">
              <a:extLst>
                <a:ext uri="{FF2B5EF4-FFF2-40B4-BE49-F238E27FC236}">
                  <a16:creationId xmlns:a16="http://schemas.microsoft.com/office/drawing/2014/main" id="{317A62F7-9A49-4EE5-99E7-A9BF018413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00266" y="8685953"/>
              <a:ext cx="3047933" cy="61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10166773</xdr:colOff>
      <xdr:row>53</xdr:row>
      <xdr:rowOff>163830</xdr:rowOff>
    </xdr:from>
    <xdr:to>
      <xdr:col>3</xdr:col>
      <xdr:colOff>1065039</xdr:colOff>
      <xdr:row>57</xdr:row>
      <xdr:rowOff>94469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OLITICA-6">
              <a:extLst>
                <a:ext uri="{FF2B5EF4-FFF2-40B4-BE49-F238E27FC236}">
                  <a16:creationId xmlns:a16="http://schemas.microsoft.com/office/drawing/2014/main" id="{9AF68B7A-BBC9-4B8D-B092-83A95B229B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8573" y="9324763"/>
              <a:ext cx="3047933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10165926</xdr:colOff>
      <xdr:row>57</xdr:row>
      <xdr:rowOff>124883</xdr:rowOff>
    </xdr:from>
    <xdr:to>
      <xdr:col>3</xdr:col>
      <xdr:colOff>1063412</xdr:colOff>
      <xdr:row>62</xdr:row>
      <xdr:rowOff>94827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OLITICA-7">
              <a:extLst>
                <a:ext uri="{FF2B5EF4-FFF2-40B4-BE49-F238E27FC236}">
                  <a16:creationId xmlns:a16="http://schemas.microsoft.com/office/drawing/2014/main" id="{F01FA178-09D8-447A-BC1A-1406316EF9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7726" y="9963150"/>
              <a:ext cx="3047153" cy="831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10172700</xdr:colOff>
      <xdr:row>62</xdr:row>
      <xdr:rowOff>154517</xdr:rowOff>
    </xdr:from>
    <xdr:to>
      <xdr:col>3</xdr:col>
      <xdr:colOff>1086206</xdr:colOff>
      <xdr:row>67</xdr:row>
      <xdr:rowOff>15664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OLITICA-8">
              <a:extLst>
                <a:ext uri="{FF2B5EF4-FFF2-40B4-BE49-F238E27FC236}">
                  <a16:creationId xmlns:a16="http://schemas.microsoft.com/office/drawing/2014/main" id="{4544D3D4-4BDA-47BD-A30C-7B796A6A1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04500" y="10839450"/>
              <a:ext cx="3047933" cy="7154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5920316</xdr:colOff>
      <xdr:row>39</xdr:row>
      <xdr:rowOff>80432</xdr:rowOff>
    </xdr:from>
    <xdr:to>
      <xdr:col>2</xdr:col>
      <xdr:colOff>10109200</xdr:colOff>
      <xdr:row>67</xdr:row>
      <xdr:rowOff>50800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E3895D0-9EF6-48E0-AF4E-C55A009F0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177799</xdr:colOff>
      <xdr:row>1</xdr:row>
      <xdr:rowOff>117256</xdr:rowOff>
    </xdr:from>
    <xdr:to>
      <xdr:col>2</xdr:col>
      <xdr:colOff>1351703</xdr:colOff>
      <xdr:row>6</xdr:row>
      <xdr:rowOff>17780</xdr:rowOff>
    </xdr:to>
    <xdr:pic>
      <xdr:nvPicPr>
        <xdr:cNvPr id="24" name="Imagem 23" descr="Fecomércio com VC - Detalhe">
          <a:extLst>
            <a:ext uri="{FF2B5EF4-FFF2-40B4-BE49-F238E27FC236}">
              <a16:creationId xmlns:a16="http://schemas.microsoft.com/office/drawing/2014/main" id="{68AFD373-612B-48E5-8708-E5132E08DA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33" t="16011" r="15686" b="15575"/>
        <a:stretch/>
      </xdr:blipFill>
      <xdr:spPr bwMode="auto">
        <a:xfrm>
          <a:off x="609599" y="286589"/>
          <a:ext cx="1185334" cy="1051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52916</xdr:colOff>
      <xdr:row>7</xdr:row>
      <xdr:rowOff>64774</xdr:rowOff>
    </xdr:from>
    <xdr:to>
      <xdr:col>6</xdr:col>
      <xdr:colOff>304800</xdr:colOff>
      <xdr:row>22</xdr:row>
      <xdr:rowOff>46565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634350B-7756-48B2-A6FB-89F1BCC10685}"/>
            </a:ext>
          </a:extLst>
        </xdr:cNvPr>
        <xdr:cNvGrpSpPr/>
      </xdr:nvGrpSpPr>
      <xdr:grpSpPr>
        <a:xfrm>
          <a:off x="490643" y="1428119"/>
          <a:ext cx="14757824" cy="2525601"/>
          <a:chOff x="507999" y="1396158"/>
          <a:chExt cx="14397567" cy="2519674"/>
        </a:xfrm>
      </xdr:grpSpPr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473D1A4-2E1C-4564-9DF0-B4D4885CA6C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92546" y="1396158"/>
            <a:ext cx="5113020" cy="173312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97A911DD-6473-4979-8573-6BECF5A4F9A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999" y="1402943"/>
            <a:ext cx="9228667" cy="25128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59269</xdr:colOff>
      <xdr:row>67</xdr:row>
      <xdr:rowOff>135467</xdr:rowOff>
    </xdr:from>
    <xdr:to>
      <xdr:col>3</xdr:col>
      <xdr:colOff>1083733</xdr:colOff>
      <xdr:row>83</xdr:row>
      <xdr:rowOff>135468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8C63A2C-C48B-4307-8AC5-967D1FB76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10167196</xdr:colOff>
      <xdr:row>42</xdr:row>
      <xdr:rowOff>109220</xdr:rowOff>
    </xdr:from>
    <xdr:to>
      <xdr:col>3</xdr:col>
      <xdr:colOff>1065462</xdr:colOff>
      <xdr:row>46</xdr:row>
      <xdr:rowOff>39860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OLITICA-3 1">
              <a:extLst>
                <a:ext uri="{FF2B5EF4-FFF2-40B4-BE49-F238E27FC236}">
                  <a16:creationId xmlns:a16="http://schemas.microsoft.com/office/drawing/2014/main" id="{D0C50483-2AE4-4A30-A36E-1F9A9C6A16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ITICA-3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8996" y="7407487"/>
              <a:ext cx="3047933" cy="6079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67732</xdr:colOff>
      <xdr:row>22</xdr:row>
      <xdr:rowOff>127000</xdr:rowOff>
    </xdr:from>
    <xdr:to>
      <xdr:col>3</xdr:col>
      <xdr:colOff>1048172</xdr:colOff>
      <xdr:row>30</xdr:row>
      <xdr:rowOff>132503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0" name="DATA PREVISTA">
              <a:extLst>
                <a:ext uri="{FF2B5EF4-FFF2-40B4-BE49-F238E27FC236}">
                  <a16:creationId xmlns:a16="http://schemas.microsoft.com/office/drawing/2014/main" id="{8876F5F4-B9CE-4962-B024-EC34F170F6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PREV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9532" y="4038600"/>
              <a:ext cx="13114867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eira Junior" refreshedDate="45160.599388310184" createdVersion="7" refreshedVersion="7" minRefreshableVersion="3" recordCount="17" xr:uid="{966E28B6-D988-43A7-B12A-465F2E9A5EBE}">
  <cacheSource type="worksheet">
    <worksheetSource name="Tabela1"/>
  </cacheSource>
  <cacheFields count="17">
    <cacheField name="OBJETIVOS E METAS " numFmtId="0">
      <sharedItems count="13">
        <s v="Objetivo 1"/>
        <s v="Objetivo 2"/>
        <s v="Objetivo 3"/>
        <s v="Objetivo 4"/>
        <s v="Objetivo 5"/>
        <s v="Objetivo 6"/>
        <s v="Objetivo 7"/>
        <s v="Objetivo 8"/>
        <s v="Objetivo 9"/>
        <s v="Objetivo 10"/>
        <s v="Objetivo 11"/>
        <s v="Objetivo 12"/>
        <s v="Bojetivo 8" u="1"/>
      </sharedItems>
    </cacheField>
    <cacheField name="POLITICA-1" numFmtId="0">
      <sharedItems containsBlank="1" count="3">
        <s v="FORTE"/>
        <s v="-"/>
        <m u="1"/>
      </sharedItems>
    </cacheField>
    <cacheField name="POLITICA-2" numFmtId="0">
      <sharedItems containsBlank="1" count="3">
        <s v="-"/>
        <s v="FORTE"/>
        <m u="1"/>
      </sharedItems>
    </cacheField>
    <cacheField name="POLITICA-3" numFmtId="0">
      <sharedItems containsBlank="1" count="4">
        <s v="-"/>
        <s v="MODERADA"/>
        <s v="FORTE"/>
        <m u="1"/>
      </sharedItems>
    </cacheField>
    <cacheField name="POLITICA-4" numFmtId="0">
      <sharedItems containsBlank="1" count="3">
        <s v="-"/>
        <s v="FORTE"/>
        <m u="1"/>
      </sharedItems>
    </cacheField>
    <cacheField name="POLITICA-5" numFmtId="0">
      <sharedItems containsBlank="1" count="4">
        <s v="-"/>
        <s v="MODERADA"/>
        <s v="FORTE"/>
        <m u="1"/>
      </sharedItems>
    </cacheField>
    <cacheField name="POLITICA-6" numFmtId="0">
      <sharedItems containsBlank="1" count="4">
        <s v="-"/>
        <s v="MODERADA"/>
        <s v="FORTE"/>
        <m u="1"/>
      </sharedItems>
    </cacheField>
    <cacheField name="POLITICA-7" numFmtId="0">
      <sharedItems containsBlank="1" count="4">
        <s v="-"/>
        <s v="MODERADA"/>
        <s v="FORTE"/>
        <m u="1"/>
      </sharedItems>
    </cacheField>
    <cacheField name="POLITICA-8" numFmtId="0">
      <sharedItems count="2">
        <s v="-"/>
        <s v="FORTE"/>
      </sharedItems>
    </cacheField>
    <cacheField name="AÇÃO" numFmtId="0">
      <sharedItems count="15">
        <s v="Providenciar cobertura do Deck Bar"/>
        <s v="Analisar e implementar planos de ação para sugestões pertinentes, fornecidas pelos clientes das avaliações"/>
        <s v="Identificar e organizar catálogo mensal de ações e eventos culturais que estejam sendo realizados na Região Metropolitana de Natal"/>
        <s v="Realizar evento de gastronomia envolvendo os alunos da escola"/>
        <s v="Implementar divulgação dos eventos nos murais de comunicação interna"/>
        <s v="Veicular açoes de divulgação do parque das donas na TV"/>
        <s v="Divulgar as ações voluntárias identificadas aos colaboradores e implementar registros de suas participações"/>
        <s v="Identificar programas de saúde das comunidades locais que possam ser apoiados pelo Hotel e realizar o apoio como apropriado"/>
        <s v="Cumprir plano de ação previsto para atendimento à Portaria Interministerial MTur/MMFDH 272, de 26/08/2019"/>
        <s v="Aplicar lista de Presença para monitorar a quantidade de Alunos recebidos no hotel "/>
        <s v="Cumprir os diversos planos existente no sistema"/>
        <s v="Comprir as açoes previstas no PGRS"/>
        <s v="Implementar medição de consumo de combustível para o veículo do Hotel"/>
        <s v="Otimizar o planejamento de compras para redução no consumo de combustível"/>
        <s v="Implementar mecanismo para informar aos clientes o comprometimento do Hotel com a economia de energia e encorajar o seu envolvimento_x000a_mediante campanhas de economia dirigidas aos clientes e aos colaboradores"/>
      </sharedItems>
    </cacheField>
    <cacheField name="DATA PREVISTA" numFmtId="164">
      <sharedItems containsSemiMixedTypes="0" containsNonDate="0" containsDate="1" containsString="0" minDate="2022-12-30T00:00:00" maxDate="2024-01-01T00:00:00" count="7">
        <d v="2023-10-30T00:00:00"/>
        <d v="2023-12-30T00:00:00"/>
        <d v="2023-12-31T00:00:00"/>
        <d v="2023-11-30T00:00:00"/>
        <d v="2023-09-30T00:00:00"/>
        <d v="2023-09-15T00:00:00"/>
        <d v="2022-12-30T00:00:00" u="1"/>
      </sharedItems>
    </cacheField>
    <cacheField name="RESPONSAVEL" numFmtId="0">
      <sharedItems count="8">
        <s v="Celso"/>
        <s v="Celso/Waldecio"/>
        <s v="Leo"/>
        <s v="Ailton"/>
        <s v="Ailton/Sara"/>
        <s v="Todos "/>
        <s v="Isaac"/>
        <s v="Ailton/Leo"/>
      </sharedItems>
    </cacheField>
    <cacheField name="DATA REALIZADO" numFmtId="164">
      <sharedItems containsNonDate="0" containsDate="1" containsString="0" containsBlank="1" minDate="2023-08-22T00:00:00" maxDate="2023-08-23T00:00:00" count="2">
        <m/>
        <d v="2023-08-22T00:00:00" u="1"/>
      </sharedItems>
    </cacheField>
    <cacheField name="STATUS" numFmtId="0">
      <sharedItems count="3">
        <s v="Em andamento"/>
        <s v="Em atraso" u="1"/>
        <s v="Finalizada" u="1"/>
      </sharedItems>
    </cacheField>
    <cacheField name="AVALIAÇÃO DA EFICÁCIA DA AÇÃO" numFmtId="0">
      <sharedItems containsBlank="1" count="2">
        <m/>
        <s v="EFICAZ"/>
      </sharedItems>
    </cacheField>
    <cacheField name="OBSERVAÇÃO" numFmtId="0">
      <sharedItems count="16" longText="1">
        <s v="Em processo para contratação da empresa que vai execultar o serviço"/>
        <s v="Realização feita através dos registro de gestão de mudança"/>
        <s v="Murais nos ambientes do hotel / Divulgação no instagram do Hotel"/>
        <s v="• _x0009_Realizado Noite Potiguar no dia -07-06-2023_x000a_• _x0009_Realizado Noite sabores do mediterrâneo – 04-07-2023"/>
        <s v="Divulgação sendo feita nos Murais nos ambientes do hotel"/>
        <s v="Fixação da TV / Divulgação no instagram do Hotel"/>
        <s v="Ação Continua, devulgação fixada na TV / Divulgado da Semana do Meio Embiente no Parque"/>
        <s v="• _x0009_Venda de produtos da lojinha de artesanato pela recepção._x000a_• _x0009_Ação pascoa mais feliz , arrecadação de chocolate para doação na comunidade -em Abril/2023"/>
        <s v="•_x0009_ Açao de corte de cabelo e beleza (Carreta açao social) - (Ações a ser realizada pelo SESC e SENAC)_x000a_•_x0009_ Divulgação no carrinho de bagarem e nos display dos quartos"/>
        <s v="•_x0009_ AÇÃO CONTINUA_x000a_•_x0009_ Realização de Treinamento sobre exploração sexual "/>
        <s v="Em execução"/>
        <s v="• _x0009_Ação continua_x000a_• _x0009_Realização de Auditoria interna para verificar se o Sistema de Gestão da Sustentabilidade da organização está conforme com os requisitos da organização,_x000a_com os requisitos da norma ABNT NBR ISO 21401:2020 e se está implementado e mantido eficazmente._x000a_• _x0009_Realização da Auditoria externa "/>
        <s v="Sendo realizado conforme revisão"/>
        <s v="FEITO MONITORAMENTO POR MEIO DE PLANILHA"/>
        <s v="AÇÃO FEITA DIARIAMENTO PELO SETOR DE COMPRAS"/>
        <s v="Ação no setor de Comunicação para produção do material"/>
      </sharedItems>
    </cacheField>
    <cacheField name="DATA-OBS" numFmtId="164">
      <sharedItems containsNonDate="0" containsDate="1" containsString="0" containsBlank="1" minDate="2023-04-20T00:00:00" maxDate="2023-07-31T00:00:00"/>
    </cacheField>
  </cacheFields>
  <extLst>
    <ext xmlns:x14="http://schemas.microsoft.com/office/spreadsheetml/2009/9/main" uri="{725AE2AE-9491-48be-B2B4-4EB974FC3084}">
      <x14:pivotCacheDefinition pivotCacheId="57053625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x v="0"/>
    <x v="0"/>
    <x v="0"/>
    <x v="0"/>
    <x v="0"/>
    <x v="0"/>
    <x v="0"/>
    <x v="0"/>
    <x v="0"/>
    <x v="0"/>
    <x v="0"/>
    <x v="0"/>
    <x v="0"/>
    <x v="0"/>
    <m/>
  </r>
  <r>
    <x v="0"/>
    <x v="0"/>
    <x v="0"/>
    <x v="0"/>
    <x v="0"/>
    <x v="0"/>
    <x v="0"/>
    <x v="0"/>
    <x v="0"/>
    <x v="1"/>
    <x v="1"/>
    <x v="1"/>
    <x v="0"/>
    <x v="0"/>
    <x v="0"/>
    <x v="1"/>
    <m/>
  </r>
  <r>
    <x v="0"/>
    <x v="0"/>
    <x v="0"/>
    <x v="0"/>
    <x v="0"/>
    <x v="0"/>
    <x v="0"/>
    <x v="0"/>
    <x v="0"/>
    <x v="2"/>
    <x v="1"/>
    <x v="2"/>
    <x v="0"/>
    <x v="0"/>
    <x v="0"/>
    <x v="2"/>
    <m/>
  </r>
  <r>
    <x v="1"/>
    <x v="1"/>
    <x v="0"/>
    <x v="0"/>
    <x v="1"/>
    <x v="1"/>
    <x v="0"/>
    <x v="0"/>
    <x v="0"/>
    <x v="3"/>
    <x v="2"/>
    <x v="1"/>
    <x v="0"/>
    <x v="0"/>
    <x v="0"/>
    <x v="3"/>
    <m/>
  </r>
  <r>
    <x v="2"/>
    <x v="1"/>
    <x v="0"/>
    <x v="0"/>
    <x v="1"/>
    <x v="1"/>
    <x v="0"/>
    <x v="1"/>
    <x v="0"/>
    <x v="4"/>
    <x v="1"/>
    <x v="2"/>
    <x v="0"/>
    <x v="0"/>
    <x v="0"/>
    <x v="4"/>
    <m/>
  </r>
  <r>
    <x v="3"/>
    <x v="1"/>
    <x v="0"/>
    <x v="0"/>
    <x v="1"/>
    <x v="1"/>
    <x v="0"/>
    <x v="1"/>
    <x v="0"/>
    <x v="5"/>
    <x v="1"/>
    <x v="2"/>
    <x v="0"/>
    <x v="0"/>
    <x v="0"/>
    <x v="5"/>
    <m/>
  </r>
  <r>
    <x v="4"/>
    <x v="1"/>
    <x v="0"/>
    <x v="0"/>
    <x v="0"/>
    <x v="2"/>
    <x v="0"/>
    <x v="0"/>
    <x v="0"/>
    <x v="5"/>
    <x v="1"/>
    <x v="2"/>
    <x v="0"/>
    <x v="0"/>
    <x v="0"/>
    <x v="6"/>
    <d v="2023-06-10T00:00:00"/>
  </r>
  <r>
    <x v="5"/>
    <x v="1"/>
    <x v="0"/>
    <x v="0"/>
    <x v="0"/>
    <x v="2"/>
    <x v="1"/>
    <x v="1"/>
    <x v="0"/>
    <x v="6"/>
    <x v="1"/>
    <x v="3"/>
    <x v="0"/>
    <x v="0"/>
    <x v="1"/>
    <x v="7"/>
    <d v="2023-04-20T00:00:00"/>
  </r>
  <r>
    <x v="5"/>
    <x v="1"/>
    <x v="0"/>
    <x v="0"/>
    <x v="0"/>
    <x v="2"/>
    <x v="1"/>
    <x v="1"/>
    <x v="0"/>
    <x v="7"/>
    <x v="3"/>
    <x v="0"/>
    <x v="0"/>
    <x v="0"/>
    <x v="0"/>
    <x v="8"/>
    <m/>
  </r>
  <r>
    <x v="6"/>
    <x v="1"/>
    <x v="0"/>
    <x v="1"/>
    <x v="0"/>
    <x v="2"/>
    <x v="2"/>
    <x v="0"/>
    <x v="0"/>
    <x v="8"/>
    <x v="2"/>
    <x v="4"/>
    <x v="0"/>
    <x v="0"/>
    <x v="0"/>
    <x v="9"/>
    <d v="2023-07-30T00:00:00"/>
  </r>
  <r>
    <x v="7"/>
    <x v="1"/>
    <x v="0"/>
    <x v="0"/>
    <x v="0"/>
    <x v="0"/>
    <x v="0"/>
    <x v="2"/>
    <x v="0"/>
    <x v="9"/>
    <x v="2"/>
    <x v="3"/>
    <x v="0"/>
    <x v="0"/>
    <x v="0"/>
    <x v="10"/>
    <m/>
  </r>
  <r>
    <x v="8"/>
    <x v="0"/>
    <x v="1"/>
    <x v="2"/>
    <x v="1"/>
    <x v="2"/>
    <x v="2"/>
    <x v="2"/>
    <x v="1"/>
    <x v="10"/>
    <x v="2"/>
    <x v="5"/>
    <x v="0"/>
    <x v="0"/>
    <x v="0"/>
    <x v="11"/>
    <m/>
  </r>
  <r>
    <x v="9"/>
    <x v="1"/>
    <x v="0"/>
    <x v="0"/>
    <x v="0"/>
    <x v="0"/>
    <x v="0"/>
    <x v="0"/>
    <x v="1"/>
    <x v="11"/>
    <x v="4"/>
    <x v="5"/>
    <x v="0"/>
    <x v="0"/>
    <x v="0"/>
    <x v="12"/>
    <m/>
  </r>
  <r>
    <x v="10"/>
    <x v="1"/>
    <x v="0"/>
    <x v="0"/>
    <x v="0"/>
    <x v="0"/>
    <x v="0"/>
    <x v="0"/>
    <x v="1"/>
    <x v="12"/>
    <x v="1"/>
    <x v="3"/>
    <x v="0"/>
    <x v="0"/>
    <x v="0"/>
    <x v="13"/>
    <m/>
  </r>
  <r>
    <x v="10"/>
    <x v="1"/>
    <x v="0"/>
    <x v="0"/>
    <x v="0"/>
    <x v="0"/>
    <x v="0"/>
    <x v="0"/>
    <x v="1"/>
    <x v="13"/>
    <x v="1"/>
    <x v="6"/>
    <x v="0"/>
    <x v="0"/>
    <x v="0"/>
    <x v="14"/>
    <m/>
  </r>
  <r>
    <x v="10"/>
    <x v="1"/>
    <x v="0"/>
    <x v="0"/>
    <x v="0"/>
    <x v="0"/>
    <x v="0"/>
    <x v="0"/>
    <x v="1"/>
    <x v="14"/>
    <x v="5"/>
    <x v="7"/>
    <x v="0"/>
    <x v="0"/>
    <x v="0"/>
    <x v="15"/>
    <m/>
  </r>
  <r>
    <x v="11"/>
    <x v="1"/>
    <x v="0"/>
    <x v="0"/>
    <x v="0"/>
    <x v="0"/>
    <x v="0"/>
    <x v="0"/>
    <x v="1"/>
    <x v="14"/>
    <x v="5"/>
    <x v="7"/>
    <x v="0"/>
    <x v="0"/>
    <x v="0"/>
    <x v="1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84CB7-F5ED-45BE-B7F3-6613A9FDE7BB}" name="Tabela dinâmica4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9">
  <location ref="K4:L10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axis="axisRow" numFmtId="164"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 sortType="descending">
      <items count="9">
        <item x="3"/>
        <item x="7"/>
        <item x="4"/>
        <item x="0"/>
        <item x="1"/>
        <item x="6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0"/>
  </rowFields>
  <rowItems count="6"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Contagem de AÇÃO" fld="9" subtotal="count" baseField="0" baseItem="0"/>
  </dataFields>
  <formats count="12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3" type="button" dataOnly="0" labelOnly="1" outline="0"/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10" type="button" dataOnly="0" labelOnly="1" outline="0" axis="axisRow" fieldPosition="0"/>
    </format>
    <format dxfId="35">
      <pivotArea dataOnly="0" labelOnly="1" fieldPosition="0">
        <references count="1">
          <reference field="10" count="0"/>
        </references>
      </pivotArea>
    </format>
    <format dxfId="34">
      <pivotArea dataOnly="0" labelOnly="1" outline="0" axis="axisValues" fieldPosition="0"/>
    </format>
  </formats>
  <chartFormats count="5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281AA-FCF9-4D33-A618-EF236B85B761}" name="Tabela dinâmica2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5">
  <location ref="E4:F5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>
      <items count="9">
        <item x="3"/>
        <item x="7"/>
        <item x="4"/>
        <item x="0"/>
        <item x="1"/>
        <item x="6"/>
        <item x="2"/>
        <item x="5"/>
        <item t="default"/>
      </items>
    </pivotField>
    <pivotField showAll="0"/>
    <pivotField axis="axisRow"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3"/>
  </rowFields>
  <rowItems count="1">
    <i>
      <x/>
    </i>
  </rowItems>
  <colItems count="1">
    <i/>
  </colItems>
  <dataFields count="1">
    <dataField name="Contagem de AÇÃO" fld="9" subtotal="count" showDataAs="percentOfTotal" baseField="0" baseItem="0" numFmtId="9"/>
  </dataFields>
  <formats count="13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3" type="button" dataOnly="0" labelOnly="1" outline="0" axis="axisRow" fieldPosition="0"/>
    </format>
    <format dxfId="55">
      <pivotArea dataOnly="0" labelOnly="1" fieldPosition="0">
        <references count="1">
          <reference field="13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collapsedLevelsAreSubtotals="1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3" type="button" dataOnly="0" labelOnly="1" outline="0" axis="axisRow" fieldPosition="0"/>
    </format>
    <format dxfId="47">
      <pivotArea dataOnly="0" labelOnly="1" fieldPosition="0">
        <references count="1">
          <reference field="13" count="0"/>
        </references>
      </pivotArea>
    </format>
    <format dxfId="46">
      <pivotArea dataOnly="0" labelOnly="1" outline="0" axis="axisValues" fieldPosition="0"/>
    </format>
  </formats>
  <chartFormats count="10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3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3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4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4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4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51933-BDD5-48CD-88DC-A9FE84B59556}" name="Tabela dinâmica1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0">
  <location ref="B4:C16" firstHeaderRow="1" firstDataRow="1" firstDataCol="1"/>
  <pivotFields count="17">
    <pivotField axis="axisRow" showAll="0" sortType="descending" defaultSubtotal="0">
      <items count="13">
        <item m="1" x="12"/>
        <item x="0"/>
        <item x="9"/>
        <item x="10"/>
        <item x="11"/>
        <item x="1"/>
        <item x="2"/>
        <item x="3"/>
        <item x="4"/>
        <item x="5"/>
        <item x="6"/>
        <item x="8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>
      <items count="3">
        <item x="1"/>
        <item x="0"/>
        <item m="1" x="2"/>
      </items>
    </pivotField>
    <pivotField showAll="0" defaultSubtotal="0">
      <items count="3">
        <item x="0"/>
        <item x="1"/>
        <item m="1" x="2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3">
        <item x="0"/>
        <item x="1"/>
        <item m="1" x="2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4">
        <item x="0"/>
        <item x="2"/>
        <item x="1"/>
        <item m="1" x="3"/>
      </items>
    </pivotField>
    <pivotField showAll="0" defaultSubtotal="0">
      <items count="2">
        <item x="0"/>
        <item x="1"/>
      </items>
    </pivotField>
    <pivotField dataField="1" showAll="0" defaultSubtotal="0"/>
    <pivotField showAll="0" defaultSubtotal="0">
      <items count="7">
        <item m="1" x="6"/>
        <item x="5"/>
        <item x="4"/>
        <item x="0"/>
        <item x="3"/>
        <item x="1"/>
        <item x="2"/>
      </items>
    </pivotField>
    <pivotField showAll="0" defaultSubtotal="0">
      <items count="8">
        <item x="3"/>
        <item x="7"/>
        <item x="4"/>
        <item x="0"/>
        <item x="1"/>
        <item x="6"/>
        <item x="2"/>
        <item x="5"/>
      </items>
    </pivotField>
    <pivotField showAll="0" defaultSubtotal="0"/>
    <pivotField showAll="0" defaultSubtotal="0">
      <items count="3">
        <item x="0"/>
        <item m="1" x="1"/>
        <item m="1" x="2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</pivotFields>
  <rowFields count="1">
    <field x="0"/>
  </rowFields>
  <rowItems count="12">
    <i>
      <x v="3"/>
    </i>
    <i>
      <x v="1"/>
    </i>
    <i>
      <x v="9"/>
    </i>
    <i>
      <x v="2"/>
    </i>
    <i>
      <x v="10"/>
    </i>
    <i>
      <x v="4"/>
    </i>
    <i>
      <x v="8"/>
    </i>
    <i>
      <x v="5"/>
    </i>
    <i>
      <x v="11"/>
    </i>
    <i>
      <x v="12"/>
    </i>
    <i>
      <x v="7"/>
    </i>
    <i>
      <x v="6"/>
    </i>
  </rowItems>
  <colItems count="1">
    <i/>
  </colItems>
  <dataFields count="1">
    <dataField name="Contagem de AÇÃO" fld="9" subtotal="count" baseField="0" baseItem="0"/>
  </dataFields>
  <formats count="11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outline="0" axis="axisValues" fieldPosition="0"/>
    </format>
  </format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FB5BB-ECCE-4008-AEAA-26108551D259}" name="Tabela dinâmica3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compact="0" compactData="0" multipleFieldFilters="0" chartFormat="19">
  <location ref="H4:I12" firstHeaderRow="1" firstDataRow="1" firstDataCol="1"/>
  <pivotFields count="17">
    <pivotField compact="0" outline="0"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compact="0" outline="0" showAll="0">
      <items count="4">
        <item x="1"/>
        <item x="0"/>
        <item m="1" x="2"/>
        <item t="default"/>
      </items>
    </pivotField>
    <pivotField compact="0" outline="0" showAll="0">
      <items count="4">
        <item x="0"/>
        <item x="1"/>
        <item m="1" x="2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4">
        <item x="0"/>
        <item x="1"/>
        <item m="1" x="2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5">
        <item x="0"/>
        <item x="2"/>
        <item x="1"/>
        <item m="1" x="3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outline="0" showAll="0"/>
    <pivotField compact="0" outline="0" showAll="0">
      <items count="8">
        <item m="1" x="6"/>
        <item x="5"/>
        <item x="4"/>
        <item x="0"/>
        <item x="3"/>
        <item x="1"/>
        <item x="2"/>
        <item t="default"/>
      </items>
    </pivotField>
    <pivotField axis="axisRow" compact="0" outline="0" showAll="0" sortType="descending">
      <items count="9">
        <item x="5"/>
        <item x="2"/>
        <item x="6"/>
        <item x="1"/>
        <item x="0"/>
        <item x="4"/>
        <item x="7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 sortType="descending">
      <items count="4">
        <item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">
        <item x="1"/>
        <item x="0"/>
        <item t="default"/>
      </items>
    </pivotField>
    <pivotField compact="0" outline="0" showAll="0"/>
    <pivotField compact="0" outline="0" showAll="0"/>
  </pivotFields>
  <rowFields count="1">
    <field x="11"/>
  </rowFields>
  <rowItems count="8">
    <i>
      <x v="1"/>
    </i>
    <i>
      <x v="7"/>
    </i>
    <i>
      <x v="4"/>
    </i>
    <i>
      <x v="6"/>
    </i>
    <i>
      <x/>
    </i>
    <i>
      <x v="3"/>
    </i>
    <i>
      <x v="5"/>
    </i>
    <i>
      <x v="2"/>
    </i>
  </rowItems>
  <colItems count="1">
    <i/>
  </colItems>
  <dataFields count="1">
    <dataField name="Contagem de AÇÃO" fld="9" subtotal="count" baseField="0" baseItem="0"/>
  </dataFields>
  <formats count="12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3" type="button" dataOnly="0" labelOnly="1" outline="0"/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outline="0" collapsedLevelsAreSubtotals="1" fieldPosition="0"/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11" type="button" dataOnly="0" labelOnly="1" outline="0" axis="axisRow" fieldPosition="0"/>
    </format>
    <format dxfId="71">
      <pivotArea dataOnly="0" labelOnly="1" outline="0" fieldPosition="0">
        <references count="1">
          <reference field="11" count="0"/>
        </references>
      </pivotArea>
    </format>
    <format dxfId="70">
      <pivotArea dataOnly="0" labelOnly="1" outline="0" axis="axisValues" fieldPosition="0"/>
    </format>
  </formats>
  <chartFormats count="4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1181E-78D1-4184-8F25-CEF9B66BF828}" name="Tabela dinâmica5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outline="1" outlineData="1" multipleFieldFilters="0" chartFormat="19">
  <location ref="N6:O6" firstHeaderRow="1" firstDataRow="1" firstDataCol="1" rowPageCount="1" colPageCount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 sortType="descending">
      <items count="9">
        <item x="3"/>
        <item x="7"/>
        <item x="4"/>
        <item x="0"/>
        <item x="1"/>
        <item x="6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3">
        <item x="0"/>
        <item m="1" x="1"/>
        <item t="default"/>
      </items>
    </pivotField>
    <pivotField axis="axisPage" multipleItemSelectionAllowed="1" showAll="0" sortType="descending">
      <items count="4">
        <item h="1" x="0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12"/>
  </rowFields>
  <colItems count="1">
    <i/>
  </colItems>
  <pageFields count="1">
    <pageField fld="13" hier="-1"/>
  </pageFields>
  <dataFields count="1">
    <dataField name="Contagem de AÇÃO" fld="9" subtotal="count" baseField="0" baseItem="0"/>
  </dataFields>
  <formats count="12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3" type="button" dataOnly="0" labelOnly="1" outline="0" axis="axisPage" fieldPosition="0"/>
    </format>
    <format dxfId="90">
      <pivotArea dataOnly="0" labelOnly="1" grandRow="1" outline="0" fieldPosition="0"/>
    </format>
    <format dxfId="89">
      <pivotArea dataOnly="0" labelOnly="1" outline="0" axis="axisValues" fieldPosition="0"/>
    </format>
    <format dxfId="88">
      <pivotArea outline="0" collapsedLevelsAreSubtotals="1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2" type="button" dataOnly="0" labelOnly="1" outline="0" axis="axisRow" fieldPosition="0"/>
    </format>
    <format dxfId="83">
      <pivotArea dataOnly="0" labelOnly="1" fieldPosition="0">
        <references count="1">
          <reference field="12" count="1">
            <x v="1"/>
          </reference>
        </references>
      </pivotArea>
    </format>
    <format dxfId="82">
      <pivotArea dataOnly="0" labelOnly="1" outline="0" axis="axisValues" fieldPosition="0"/>
    </format>
  </formats>
  <chartFormats count="5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92E69F-D605-457B-9F16-B950F819F92B}" name="Tabela dinâmica6" cacheId="0" applyNumberFormats="0" applyBorderFormats="0" applyFontFormats="0" applyPatternFormats="0" applyAlignmentFormats="0" applyWidthHeightFormats="1" dataCaption="Valores" updatedVersion="7" minRefreshableVersion="5" rowGrandTotals="0" colGrandTotals="0" itemPrintTitles="1" createdVersion="7" indent="0" outline="1" outlineData="1" multipleFieldFilters="0" chartFormat="15" rowHeaderCaption="PLANOS DE AÇÕES :">
  <location ref="C86:C101" firstHeaderRow="1" firstDataRow="1" firstDataCol="1"/>
  <pivotFields count="17">
    <pivotField showAll="0">
      <items count="14">
        <item m="1" x="12"/>
        <item x="0"/>
        <item x="9"/>
        <item x="10"/>
        <item x="11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4">
        <item x="1"/>
        <item x="0"/>
        <item m="1" x="2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4">
        <item x="0"/>
        <item x="1"/>
        <item m="1" x="2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5">
        <item x="0"/>
        <item x="2"/>
        <item x="1"/>
        <item m="1" x="3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16">
        <item x="1"/>
        <item x="9"/>
        <item x="11"/>
        <item x="10"/>
        <item x="8"/>
        <item x="6"/>
        <item x="2"/>
        <item x="7"/>
        <item x="4"/>
        <item x="14"/>
        <item x="12"/>
        <item x="13"/>
        <item x="0"/>
        <item x="3"/>
        <item x="5"/>
        <item t="default"/>
      </items>
    </pivotField>
    <pivotField showAll="0">
      <items count="8">
        <item m="1" x="6"/>
        <item x="5"/>
        <item x="4"/>
        <item x="0"/>
        <item x="3"/>
        <item x="1"/>
        <item x="2"/>
        <item t="default"/>
      </items>
    </pivotField>
    <pivotField showAll="0">
      <items count="9">
        <item x="3"/>
        <item x="7"/>
        <item x="4"/>
        <item x="0"/>
        <item x="1"/>
        <item x="6"/>
        <item x="2"/>
        <item x="5"/>
        <item t="default"/>
      </items>
    </pivotField>
    <pivotField showAll="0"/>
    <pivotField showAll="0">
      <items count="4">
        <item x="0"/>
        <item m="1" x="1"/>
        <item m="1" x="2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</pivotFields>
  <rowFields count="1">
    <field x="9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15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3" type="button" dataOnly="0" labelOnly="1" outline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13" type="button" dataOnly="0" labelOnly="1" outline="0"/>
    </format>
    <format dxfId="5">
      <pivotArea dataOnly="0" labelOnly="1" outline="0" axis="axisValues" fieldPosition="0"/>
    </format>
    <format dxfId="4">
      <pivotArea dataOnly="0" labelOnly="1" fieldPosition="0">
        <references count="1">
          <reference field="9" count="0"/>
        </references>
      </pivotArea>
    </format>
    <format dxfId="3">
      <pivotArea field="9" type="button" dataOnly="0" labelOnly="1" outline="0" axis="axisRow" fieldPosition="0"/>
    </format>
    <format dxfId="2">
      <pivotArea field="9" type="button" dataOnly="0" labelOnly="1" outline="0" axis="axisRow" fieldPosition="0"/>
    </format>
    <format dxfId="1">
      <pivotArea field="9" type="button" dataOnly="0" labelOnly="1" outline="0" axis="axisRow" fieldPosition="0"/>
    </format>
    <format dxfId="0">
      <pivotArea field="9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BJETIVOS_E_METAS" xr10:uid="{E1F81F25-6CDB-4270-B207-FB7B3D619E94}" sourceName="OBJETIVOS E METAS 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13">
        <i x="0" s="1"/>
        <i x="9" s="1"/>
        <i x="10" s="1"/>
        <i x="11" s="1"/>
        <i x="1" s="1"/>
        <i x="2" s="1"/>
        <i x="3" s="1"/>
        <i x="4" s="1"/>
        <i x="5" s="1"/>
        <i x="6" s="1"/>
        <i x="7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AVEL" xr10:uid="{0DC44BD3-1DBE-4A51-B0C1-96E32F19FFA5}" sourceName="RESPONSAVEL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8">
        <i x="3" s="1"/>
        <i x="7" s="1"/>
        <i x="4" s="1"/>
        <i x="0" s="1"/>
        <i x="1" s="1"/>
        <i x="6" s="1"/>
        <i x="2" s="1"/>
        <i x="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A44E0144-A6B5-4B94-B9F2-F768128E6CB3}" sourceName="STATUS">
  <pivotTables>
    <pivotTable tabId="16" name="Tabela dinâmica1"/>
    <pivotTable tabId="16" name="Tabela dinâmica2"/>
    <pivotTable tabId="16" name="Tabela dinâmica3"/>
    <pivotTable tabId="16" name="Tabela dinâmica4"/>
    <pivotTable tabId="17" name="Tabela dinâmica6"/>
  </pivotTables>
  <data>
    <tabular pivotCacheId="570536257">
      <items count="3">
        <i x="0" s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VALIAÇÃO_DA_EFICÁCIA_DA_AÇÃO" xr10:uid="{C742363B-E834-4E9E-8A60-E3E1CE9901AA}" sourceName="AVALIAÇÃO DA EFICÁCIA DA AÇÃO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1" xr10:uid="{08F64384-6210-4FF8-9824-78F411D48284}" sourceName="POLITICA-1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2" xr10:uid="{670193FC-EF3C-4C34-8929-3A79E9F05EA8}" sourceName="POLITICA-2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3" xr10:uid="{A5210568-62A9-4413-A325-803C0786BC8B}" sourceName="POLITICA-3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4" xr10:uid="{9FD395DB-6389-466E-8CE4-9AD1A39AF62B}" sourceName="POLITICA-4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5" xr10:uid="{77C84A47-1368-442B-939C-E6C14018BC1D}" sourceName="POLITICA-5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6" xr10:uid="{83F0E6C6-2EC7-4B9C-87C5-B7E76BC2B692}" sourceName="POLITICA-6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7" xr10:uid="{0362DA22-C48A-4555-A05D-62F2851FA99D}" sourceName="POLITICA-7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OLITICA_8" xr10:uid="{1178F883-0F16-4033-9BE4-EFFB5AF19FCF}" sourceName="POLITICA-8">
  <pivotTables>
    <pivotTable tabId="16" name="Tabela dinâmica1"/>
    <pivotTable tabId="16" name="Tabela dinâmica2"/>
    <pivotTable tabId="16" name="Tabela dinâmica3"/>
    <pivotTable tabId="16" name="Tabela dinâmica4"/>
    <pivotTable tabId="16" name="Tabela dinâmica5"/>
    <pivotTable tabId="17" name="Tabela dinâmica6"/>
  </pivotTables>
  <data>
    <tabular pivotCacheId="570536257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BJETIVOS E METAS " xr10:uid="{831CA306-285E-42B7-9CCA-3BEA899BD602}" cache="SegmentaçãodeDados_OBJETIVOS_E_METAS" caption="OBJETIVOS E METAS " columnCount="4" style="SlicerStyleDark1 2" rowHeight="209550"/>
  <slicer name="RESPONSAVEL" xr10:uid="{4CF4ED23-48DA-45E3-AEA7-9B74DD0D55FC}" cache="SegmentaçãodeDados_RESPONSAVEL" caption="RESPONSAVEL" columnCount="2" style="SlicerStyleDark1 2" rowHeight="209550"/>
  <slicer name="STATUS" xr10:uid="{395E8FCC-A125-429F-82CA-66B5AFEAAD89}" cache="SegmentaçãodeDados_STATUS" caption="STATUS" style="SlicerStyleDark1 2" rowHeight="209550"/>
  <slicer name="AVALIAÇÃO DA EFICÁCIA DA AÇÃO" xr10:uid="{32194417-CE25-49CF-BA26-9F4782565F49}" cache="SegmentaçãodeDados_AVALIAÇÃO_DA_EFICÁCIA_DA_AÇÃO" caption="AVALIAÇÃO DA EFICÁCIA DA AÇÃO" style="SlicerStyleDark1 2" rowHeight="209550"/>
  <slicer name="POLITICA-1" xr10:uid="{227F7E6A-A858-4820-AAD2-EE7AB046464F}" cache="SegmentaçãodeDados_POLITICA_1" caption="POLITICA-1" columnCount="3" style="SlicerStyleDark1 2" rowHeight="209550"/>
  <slicer name="POLITICA-2" xr10:uid="{A5007B31-53F8-4AD0-8F5C-B6ECE0AF2C3E}" cache="SegmentaçãodeDados_POLITICA_2" caption="POLITICA-2" columnCount="3" style="SlicerStyleDark1 2" rowHeight="209550"/>
  <slicer name="POLITICA-3" xr10:uid="{DA867E96-319B-4961-A471-051A5254F519}" cache="SegmentaçãodeDados_POLITICA_3" caption="POLITICA-3" columnCount="3" style="SlicerStyleDark1 2" rowHeight="209550"/>
  <slicer name="POLITICA-3 1" xr10:uid="{3D8DA577-0916-4808-8F3D-A7BB7EEC3B44}" cache="SegmentaçãodeDados_POLITICA_3" caption="POLITICA-3" columnCount="3" style="SlicerStyleDark1 2" rowHeight="209550"/>
  <slicer name="POLITICA-4" xr10:uid="{A39552D0-6325-46B5-9407-594970C7D019}" cache="SegmentaçãodeDados_POLITICA_4" caption="POLITICA-4" columnCount="3" style="SlicerStyleDark1 2" rowHeight="209550"/>
  <slicer name="POLITICA-5" xr10:uid="{0A8C5A8B-DCE5-47CA-AACF-690811F45B20}" cache="SegmentaçãodeDados_POLITICA_5" caption="POLITICA-5" columnCount="3" style="SlicerStyleDark1 2" rowHeight="209550"/>
  <slicer name="POLITICA-6" xr10:uid="{8565264B-FEC4-48F0-BF1E-48836572C20B}" cache="SegmentaçãodeDados_POLITICA_6" caption="POLITICA-6" columnCount="3" style="SlicerStyleDark1 2" rowHeight="209550"/>
  <slicer name="POLITICA-7" xr10:uid="{9E0AC4CB-012D-4290-B499-28DE151E453A}" cache="SegmentaçãodeDados_POLITICA_7" caption="POLITICA-7" columnCount="3" style="SlicerStyleDark1 2" rowHeight="209550"/>
  <slicer name="POLITICA-8" xr10:uid="{E11A8DF1-7BA1-470E-ACA1-7C63459CB1B4}" cache="SegmentaçãodeDados_POLITICA_8" caption="POLITICA-8" columnCount="3" style="SlicerStyleDark1 2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21FD41-7B71-459F-B787-30958CA9F04A}" name="Tabela2" displayName="Tabela2" ref="B2:E155" totalsRowShown="0" headerRowDxfId="99" dataDxfId="98">
  <autoFilter ref="B2:E155" xr:uid="{A121FD41-7B71-459F-B787-30958CA9F04A}"/>
  <tableColumns count="4">
    <tableColumn id="1" xr3:uid="{18B11683-D98A-45F9-B009-CEE284EEAC87}" name="Date" dataDxfId="97">
      <calculatedColumnFormula>B2+1</calculatedColumnFormula>
    </tableColumn>
    <tableColumn id="2" xr3:uid="{229C868F-209D-4401-92C4-9FBB26EE21D2}" name="PREV" dataDxfId="96">
      <calculatedColumnFormula>SUMIFS(td_Dados!L:L,td_Dados!K:K,"&lt;="&amp;Tabela2[[#This Row],[Date]])</calculatedColumnFormula>
    </tableColumn>
    <tableColumn id="3" xr3:uid="{C31A7361-B0E7-437C-81C9-D19D11A797E4}" name="REAL" dataDxfId="95">
      <calculatedColumnFormula>SUMIFS(td_Dados!O:O,td_Dados!N:N,"&lt;="&amp;Tabela2[[#This Row],[Date]])</calculatedColumnFormula>
    </tableColumn>
    <tableColumn id="4" xr3:uid="{B2C354F9-54E1-443B-B357-2C632F0FB7E0}" name="%" dataDxfId="94">
      <calculatedColumnFormula>IFERROR(D3/C3,0)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2A29A9-5E52-4BCA-AE25-9FAFCB00A6C2}" name="Tabela1" displayName="Tabela1" ref="B2:R19" totalsRowShown="0" headerRowDxfId="33" dataDxfId="32">
  <autoFilter ref="B2:R19" xr:uid="{2A2A29A9-5E52-4BCA-AE25-9FAFCB00A6C2}"/>
  <tableColumns count="17">
    <tableColumn id="1" xr3:uid="{06BAFA63-359A-45BB-8801-0E6F79C92ECD}" name="OBJETIVOS E METAS " dataDxfId="31"/>
    <tableColumn id="11" xr3:uid="{6442616C-2242-43DD-9786-F94F8C7EDB30}" name="POLITICA-1" dataDxfId="30"/>
    <tableColumn id="18" xr3:uid="{037B6482-E32C-4589-B56A-ABB831CAE7CF}" name="POLITICA-2" dataDxfId="29"/>
    <tableColumn id="17" xr3:uid="{468B7EE4-51A3-415F-A8AE-706E3B45E437}" name="POLITICA-3" dataDxfId="28"/>
    <tableColumn id="16" xr3:uid="{1086232C-352B-468B-BB95-9497E9D4289A}" name="POLITICA-4" dataDxfId="27"/>
    <tableColumn id="15" xr3:uid="{DDC19A97-21A0-460C-81DB-CBEC0094C3CB}" name="POLITICA-5" dataDxfId="26"/>
    <tableColumn id="14" xr3:uid="{30DD346C-BCF0-4705-A642-1722CA2ABD0F}" name="POLITICA-6" dataDxfId="25"/>
    <tableColumn id="19" xr3:uid="{B2484848-1E9E-45AA-9717-3F5FB70A947C}" name="POLITICA-7" dataDxfId="24"/>
    <tableColumn id="13" xr3:uid="{85059B57-3604-4D7C-BE7D-B75C40A8A632}" name="POLITICA-8" dataDxfId="23"/>
    <tableColumn id="2" xr3:uid="{82E39C26-C5E8-42BE-A9B3-8936095ECE31}" name="AÇÃO" dataDxfId="22"/>
    <tableColumn id="3" xr3:uid="{2A0493F0-0997-4599-9638-AABFE3D454A0}" name="DATA PREVISTA" dataDxfId="21"/>
    <tableColumn id="4" xr3:uid="{E1DB61DF-FD5E-4948-865D-0E79853CC0E6}" name="RESPONSAVEL" dataDxfId="20"/>
    <tableColumn id="5" xr3:uid="{407AA1C2-EEE7-453A-810E-940C8946F398}" name="DATA REALIZADO" dataDxfId="19"/>
    <tableColumn id="10" xr3:uid="{FEA1F100-709C-4A59-B79F-5DC2E23248AC}" name="STATUS" dataDxfId="18">
      <calculatedColumnFormula>IF(Tabela1[[#This Row],[DATA REALIZADO]]&lt;&gt;"","Finalizada",
IF(TODAY()&lt;Tabela1[[#This Row],[DATA PREVISTA]],"Em andamento",
IF(TODAY()&gt;=Tabela1[[#This Row],[DATA PREVISTA]],"Em atraso",)))</calculatedColumnFormula>
    </tableColumn>
    <tableColumn id="7" xr3:uid="{18053EFB-659F-4785-9258-E47962884DC6}" name="AVALIAÇÃO DA EFICÁCIA DA AÇÃO" dataDxfId="17"/>
    <tableColumn id="8" xr3:uid="{7C4CEE98-291E-4CDE-89FF-9E569B7845D7}" name="OBSERVAÇÃO" dataDxfId="16"/>
    <tableColumn id="9" xr3:uid="{97422EE4-7FAE-454C-86E0-FA386E015FA6}" name="DATA-OBS" dataDxfId="15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PREVISTA" xr10:uid="{195AC5ED-7FBF-43E3-A1C6-721757F2CA0E}" sourceName="DATA PREVISTA">
  <pivotTables>
    <pivotTable tabId="16" name="Tabela dinâmica1"/>
    <pivotTable tabId="17" name="Tabela dinâmica6"/>
    <pivotTable tabId="16" name="Tabela dinâmica2"/>
    <pivotTable tabId="16" name="Tabela dinâmica3"/>
    <pivotTable tabId="16" name="Tabela dinâmica4"/>
    <pivotTable tabId="16" name="Tabela dinâmica5"/>
  </pivotTables>
  <state minimalRefreshVersion="6" lastRefreshVersion="6" pivotCacheId="570536257" filterType="unknown">
    <bounds startDate="2022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PREVISTA" xr10:uid="{620893A8-2140-4C63-97B8-1D69C36AC922}" cache="NativeTimeline_DATA_PREVISTA" caption="DATA PREVISTA" level="2" selectionLevel="2" scrollPosition="2022-06-18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F0356-EB11-4CA9-81CF-E658A1BF12DE}">
  <dimension ref="B2:E181"/>
  <sheetViews>
    <sheetView topLeftCell="A2" workbookViewId="0">
      <selection activeCell="C3" sqref="C3"/>
    </sheetView>
  </sheetViews>
  <sheetFormatPr defaultRowHeight="13.8" x14ac:dyDescent="0.3"/>
  <cols>
    <col min="1" max="1" width="2.109375" style="1" customWidth="1"/>
    <col min="2" max="16384" width="8.88671875" style="1"/>
  </cols>
  <sheetData>
    <row r="2" spans="2:5" ht="14.4" x14ac:dyDescent="0.3">
      <c r="B2" s="19" t="s">
        <v>101</v>
      </c>
      <c r="C2" s="19" t="s">
        <v>104</v>
      </c>
      <c r="D2" s="20" t="s">
        <v>102</v>
      </c>
      <c r="E2" s="21" t="s">
        <v>103</v>
      </c>
    </row>
    <row r="3" spans="2:5" x14ac:dyDescent="0.3">
      <c r="B3" s="24">
        <v>45139</v>
      </c>
      <c r="C3" s="25">
        <f>SUMIFS(td_Dados!L:L,td_Dados!K:K,"&lt;="&amp;Tabela2[[#This Row],[Date]])</f>
        <v>0</v>
      </c>
      <c r="D3" s="22">
        <f>SUMIFS(td_Dados!O:O,td_Dados!N:N,"&lt;="&amp;Tabela2[[#This Row],[Date]])</f>
        <v>0</v>
      </c>
      <c r="E3" s="23">
        <f t="shared" ref="E3:E10" si="0">IFERROR(D3/C3,0)</f>
        <v>0</v>
      </c>
    </row>
    <row r="4" spans="2:5" x14ac:dyDescent="0.3">
      <c r="B4" s="24">
        <f>B3+1</f>
        <v>45140</v>
      </c>
      <c r="C4" s="25">
        <f>SUMIFS(td_Dados!L:L,td_Dados!K:K,"&lt;="&amp;Tabela2[[#This Row],[Date]])</f>
        <v>0</v>
      </c>
      <c r="D4" s="25">
        <f>SUMIFS(td_Dados!O:O,td_Dados!N:N,"&lt;="&amp;Tabela2[[#This Row],[Date]])</f>
        <v>0</v>
      </c>
      <c r="E4" s="23">
        <f t="shared" si="0"/>
        <v>0</v>
      </c>
    </row>
    <row r="5" spans="2:5" x14ac:dyDescent="0.3">
      <c r="B5" s="24">
        <f t="shared" ref="B5:B68" si="1">B4+1</f>
        <v>45141</v>
      </c>
      <c r="C5" s="25">
        <f>SUMIFS(td_Dados!L:L,td_Dados!K:K,"&lt;="&amp;Tabela2[[#This Row],[Date]])</f>
        <v>0</v>
      </c>
      <c r="D5" s="25">
        <f>SUMIFS(td_Dados!O:O,td_Dados!N:N,"&lt;="&amp;Tabela2[[#This Row],[Date]])</f>
        <v>0</v>
      </c>
      <c r="E5" s="23">
        <f t="shared" si="0"/>
        <v>0</v>
      </c>
    </row>
    <row r="6" spans="2:5" x14ac:dyDescent="0.3">
      <c r="B6" s="24">
        <f t="shared" si="1"/>
        <v>45142</v>
      </c>
      <c r="C6" s="25">
        <f>SUMIFS(td_Dados!L:L,td_Dados!K:K,"&lt;="&amp;Tabela2[[#This Row],[Date]])</f>
        <v>0</v>
      </c>
      <c r="D6" s="25">
        <f>SUMIFS(td_Dados!O:O,td_Dados!N:N,"&lt;="&amp;Tabela2[[#This Row],[Date]])</f>
        <v>0</v>
      </c>
      <c r="E6" s="23">
        <f t="shared" si="0"/>
        <v>0</v>
      </c>
    </row>
    <row r="7" spans="2:5" x14ac:dyDescent="0.3">
      <c r="B7" s="24">
        <f t="shared" si="1"/>
        <v>45143</v>
      </c>
      <c r="C7" s="25">
        <f>SUMIFS(td_Dados!L:L,td_Dados!K:K,"&lt;="&amp;Tabela2[[#This Row],[Date]])</f>
        <v>0</v>
      </c>
      <c r="D7" s="25">
        <f>SUMIFS(td_Dados!O:O,td_Dados!N:N,"&lt;="&amp;Tabela2[[#This Row],[Date]])</f>
        <v>0</v>
      </c>
      <c r="E7" s="23">
        <f t="shared" si="0"/>
        <v>0</v>
      </c>
    </row>
    <row r="8" spans="2:5" x14ac:dyDescent="0.3">
      <c r="B8" s="24">
        <f t="shared" si="1"/>
        <v>45144</v>
      </c>
      <c r="C8" s="25">
        <f>SUMIFS(td_Dados!L:L,td_Dados!K:K,"&lt;="&amp;Tabela2[[#This Row],[Date]])</f>
        <v>0</v>
      </c>
      <c r="D8" s="25">
        <f>SUMIFS(td_Dados!O:O,td_Dados!N:N,"&lt;="&amp;Tabela2[[#This Row],[Date]])</f>
        <v>0</v>
      </c>
      <c r="E8" s="23">
        <f t="shared" si="0"/>
        <v>0</v>
      </c>
    </row>
    <row r="9" spans="2:5" x14ac:dyDescent="0.3">
      <c r="B9" s="24">
        <f t="shared" si="1"/>
        <v>45145</v>
      </c>
      <c r="C9" s="25">
        <f>SUMIFS(td_Dados!L:L,td_Dados!K:K,"&lt;="&amp;Tabela2[[#This Row],[Date]])</f>
        <v>0</v>
      </c>
      <c r="D9" s="25">
        <f>SUMIFS(td_Dados!O:O,td_Dados!N:N,"&lt;="&amp;Tabela2[[#This Row],[Date]])</f>
        <v>0</v>
      </c>
      <c r="E9" s="23">
        <f t="shared" si="0"/>
        <v>0</v>
      </c>
    </row>
    <row r="10" spans="2:5" x14ac:dyDescent="0.3">
      <c r="B10" s="24">
        <f t="shared" si="1"/>
        <v>45146</v>
      </c>
      <c r="C10" s="25">
        <f>SUMIFS(td_Dados!L:L,td_Dados!K:K,"&lt;="&amp;Tabela2[[#This Row],[Date]])</f>
        <v>0</v>
      </c>
      <c r="D10" s="25">
        <f>SUMIFS(td_Dados!O:O,td_Dados!N:N,"&lt;="&amp;Tabela2[[#This Row],[Date]])</f>
        <v>0</v>
      </c>
      <c r="E10" s="23">
        <f t="shared" si="0"/>
        <v>0</v>
      </c>
    </row>
    <row r="11" spans="2:5" x14ac:dyDescent="0.3">
      <c r="B11" s="24">
        <f t="shared" si="1"/>
        <v>45147</v>
      </c>
      <c r="C11" s="25">
        <f>SUMIFS(td_Dados!L:L,td_Dados!K:K,"&lt;="&amp;Tabela2[[#This Row],[Date]])</f>
        <v>0</v>
      </c>
      <c r="D11" s="25">
        <f>SUMIFS(td_Dados!O:O,td_Dados!N:N,"&lt;="&amp;Tabela2[[#This Row],[Date]])</f>
        <v>0</v>
      </c>
      <c r="E11" s="23">
        <f t="shared" ref="E11:E67" si="2">IFERROR(D11/C11,0)</f>
        <v>0</v>
      </c>
    </row>
    <row r="12" spans="2:5" x14ac:dyDescent="0.3">
      <c r="B12" s="24">
        <f t="shared" si="1"/>
        <v>45148</v>
      </c>
      <c r="C12" s="25">
        <f>SUMIFS(td_Dados!L:L,td_Dados!K:K,"&lt;="&amp;Tabela2[[#This Row],[Date]])</f>
        <v>0</v>
      </c>
      <c r="D12" s="25">
        <f>SUMIFS(td_Dados!O:O,td_Dados!N:N,"&lt;="&amp;Tabela2[[#This Row],[Date]])</f>
        <v>0</v>
      </c>
      <c r="E12" s="23">
        <f t="shared" si="2"/>
        <v>0</v>
      </c>
    </row>
    <row r="13" spans="2:5" x14ac:dyDescent="0.3">
      <c r="B13" s="24">
        <f t="shared" si="1"/>
        <v>45149</v>
      </c>
      <c r="C13" s="25">
        <f>SUMIFS(td_Dados!L:L,td_Dados!K:K,"&lt;="&amp;Tabela2[[#This Row],[Date]])</f>
        <v>0</v>
      </c>
      <c r="D13" s="25">
        <f>SUMIFS(td_Dados!O:O,td_Dados!N:N,"&lt;="&amp;Tabela2[[#This Row],[Date]])</f>
        <v>0</v>
      </c>
      <c r="E13" s="23">
        <f t="shared" si="2"/>
        <v>0</v>
      </c>
    </row>
    <row r="14" spans="2:5" x14ac:dyDescent="0.3">
      <c r="B14" s="24">
        <f t="shared" si="1"/>
        <v>45150</v>
      </c>
      <c r="C14" s="25">
        <f>SUMIFS(td_Dados!L:L,td_Dados!K:K,"&lt;="&amp;Tabela2[[#This Row],[Date]])</f>
        <v>0</v>
      </c>
      <c r="D14" s="25">
        <f>SUMIFS(td_Dados!O:O,td_Dados!N:N,"&lt;="&amp;Tabela2[[#This Row],[Date]])</f>
        <v>0</v>
      </c>
      <c r="E14" s="23">
        <f t="shared" si="2"/>
        <v>0</v>
      </c>
    </row>
    <row r="15" spans="2:5" x14ac:dyDescent="0.3">
      <c r="B15" s="24">
        <f t="shared" si="1"/>
        <v>45151</v>
      </c>
      <c r="C15" s="25">
        <f>SUMIFS(td_Dados!L:L,td_Dados!K:K,"&lt;="&amp;Tabela2[[#This Row],[Date]])</f>
        <v>0</v>
      </c>
      <c r="D15" s="25">
        <f>SUMIFS(td_Dados!O:O,td_Dados!N:N,"&lt;="&amp;Tabela2[[#This Row],[Date]])</f>
        <v>0</v>
      </c>
      <c r="E15" s="23">
        <f t="shared" si="2"/>
        <v>0</v>
      </c>
    </row>
    <row r="16" spans="2:5" x14ac:dyDescent="0.3">
      <c r="B16" s="24">
        <f t="shared" si="1"/>
        <v>45152</v>
      </c>
      <c r="C16" s="25">
        <f>SUMIFS(td_Dados!L:L,td_Dados!K:K,"&lt;="&amp;Tabela2[[#This Row],[Date]])</f>
        <v>0</v>
      </c>
      <c r="D16" s="25">
        <f>SUMIFS(td_Dados!O:O,td_Dados!N:N,"&lt;="&amp;Tabela2[[#This Row],[Date]])</f>
        <v>0</v>
      </c>
      <c r="E16" s="23">
        <f t="shared" si="2"/>
        <v>0</v>
      </c>
    </row>
    <row r="17" spans="2:5" x14ac:dyDescent="0.3">
      <c r="B17" s="24">
        <f t="shared" si="1"/>
        <v>45153</v>
      </c>
      <c r="C17" s="25">
        <f>SUMIFS(td_Dados!L:L,td_Dados!K:K,"&lt;="&amp;Tabela2[[#This Row],[Date]])</f>
        <v>0</v>
      </c>
      <c r="D17" s="25">
        <f>SUMIFS(td_Dados!O:O,td_Dados!N:N,"&lt;="&amp;Tabela2[[#This Row],[Date]])</f>
        <v>0</v>
      </c>
      <c r="E17" s="23">
        <f t="shared" si="2"/>
        <v>0</v>
      </c>
    </row>
    <row r="18" spans="2:5" x14ac:dyDescent="0.3">
      <c r="B18" s="24">
        <f t="shared" si="1"/>
        <v>45154</v>
      </c>
      <c r="C18" s="25">
        <f>SUMIFS(td_Dados!L:L,td_Dados!K:K,"&lt;="&amp;Tabela2[[#This Row],[Date]])</f>
        <v>0</v>
      </c>
      <c r="D18" s="25">
        <f>SUMIFS(td_Dados!O:O,td_Dados!N:N,"&lt;="&amp;Tabela2[[#This Row],[Date]])</f>
        <v>0</v>
      </c>
      <c r="E18" s="23">
        <f t="shared" si="2"/>
        <v>0</v>
      </c>
    </row>
    <row r="19" spans="2:5" x14ac:dyDescent="0.3">
      <c r="B19" s="24">
        <f t="shared" si="1"/>
        <v>45155</v>
      </c>
      <c r="C19" s="25">
        <f>SUMIFS(td_Dados!L:L,td_Dados!K:K,"&lt;="&amp;Tabela2[[#This Row],[Date]])</f>
        <v>0</v>
      </c>
      <c r="D19" s="25">
        <f>SUMIFS(td_Dados!O:O,td_Dados!N:N,"&lt;="&amp;Tabela2[[#This Row],[Date]])</f>
        <v>0</v>
      </c>
      <c r="E19" s="23">
        <f t="shared" si="2"/>
        <v>0</v>
      </c>
    </row>
    <row r="20" spans="2:5" x14ac:dyDescent="0.3">
      <c r="B20" s="24">
        <f t="shared" si="1"/>
        <v>45156</v>
      </c>
      <c r="C20" s="25">
        <f>SUMIFS(td_Dados!L:L,td_Dados!K:K,"&lt;="&amp;Tabela2[[#This Row],[Date]])</f>
        <v>0</v>
      </c>
      <c r="D20" s="25">
        <f>SUMIFS(td_Dados!O:O,td_Dados!N:N,"&lt;="&amp;Tabela2[[#This Row],[Date]])</f>
        <v>0</v>
      </c>
      <c r="E20" s="23">
        <f t="shared" si="2"/>
        <v>0</v>
      </c>
    </row>
    <row r="21" spans="2:5" x14ac:dyDescent="0.3">
      <c r="B21" s="24">
        <f t="shared" si="1"/>
        <v>45157</v>
      </c>
      <c r="C21" s="25">
        <f>SUMIFS(td_Dados!L:L,td_Dados!K:K,"&lt;="&amp;Tabela2[[#This Row],[Date]])</f>
        <v>0</v>
      </c>
      <c r="D21" s="25">
        <f>SUMIFS(td_Dados!O:O,td_Dados!N:N,"&lt;="&amp;Tabela2[[#This Row],[Date]])</f>
        <v>0</v>
      </c>
      <c r="E21" s="23">
        <f t="shared" si="2"/>
        <v>0</v>
      </c>
    </row>
    <row r="22" spans="2:5" x14ac:dyDescent="0.3">
      <c r="B22" s="24">
        <f t="shared" si="1"/>
        <v>45158</v>
      </c>
      <c r="C22" s="25">
        <f>SUMIFS(td_Dados!L:L,td_Dados!K:K,"&lt;="&amp;Tabela2[[#This Row],[Date]])</f>
        <v>0</v>
      </c>
      <c r="D22" s="25">
        <f>SUMIFS(td_Dados!O:O,td_Dados!N:N,"&lt;="&amp;Tabela2[[#This Row],[Date]])</f>
        <v>0</v>
      </c>
      <c r="E22" s="23">
        <f t="shared" si="2"/>
        <v>0</v>
      </c>
    </row>
    <row r="23" spans="2:5" x14ac:dyDescent="0.3">
      <c r="B23" s="24">
        <f t="shared" si="1"/>
        <v>45159</v>
      </c>
      <c r="C23" s="25">
        <f>SUMIFS(td_Dados!L:L,td_Dados!K:K,"&lt;="&amp;Tabela2[[#This Row],[Date]])</f>
        <v>0</v>
      </c>
      <c r="D23" s="25">
        <f>SUMIFS(td_Dados!O:O,td_Dados!N:N,"&lt;="&amp;Tabela2[[#This Row],[Date]])</f>
        <v>0</v>
      </c>
      <c r="E23" s="23">
        <f t="shared" si="2"/>
        <v>0</v>
      </c>
    </row>
    <row r="24" spans="2:5" x14ac:dyDescent="0.3">
      <c r="B24" s="24">
        <f t="shared" si="1"/>
        <v>45160</v>
      </c>
      <c r="C24" s="25">
        <f>SUMIFS(td_Dados!L:L,td_Dados!K:K,"&lt;="&amp;Tabela2[[#This Row],[Date]])</f>
        <v>0</v>
      </c>
      <c r="D24" s="25">
        <f>SUMIFS(td_Dados!O:O,td_Dados!N:N,"&lt;="&amp;Tabela2[[#This Row],[Date]])</f>
        <v>0</v>
      </c>
      <c r="E24" s="23">
        <f t="shared" si="2"/>
        <v>0</v>
      </c>
    </row>
    <row r="25" spans="2:5" x14ac:dyDescent="0.3">
      <c r="B25" s="24">
        <f t="shared" si="1"/>
        <v>45161</v>
      </c>
      <c r="C25" s="25">
        <f>SUMIFS(td_Dados!L:L,td_Dados!K:K,"&lt;="&amp;Tabela2[[#This Row],[Date]])</f>
        <v>0</v>
      </c>
      <c r="D25" s="25">
        <f>SUMIFS(td_Dados!O:O,td_Dados!N:N,"&lt;="&amp;Tabela2[[#This Row],[Date]])</f>
        <v>0</v>
      </c>
      <c r="E25" s="23">
        <f t="shared" si="2"/>
        <v>0</v>
      </c>
    </row>
    <row r="26" spans="2:5" x14ac:dyDescent="0.3">
      <c r="B26" s="24">
        <f t="shared" si="1"/>
        <v>45162</v>
      </c>
      <c r="C26" s="25">
        <f>SUMIFS(td_Dados!L:L,td_Dados!K:K,"&lt;="&amp;Tabela2[[#This Row],[Date]])</f>
        <v>0</v>
      </c>
      <c r="D26" s="25">
        <f>SUMIFS(td_Dados!O:O,td_Dados!N:N,"&lt;="&amp;Tabela2[[#This Row],[Date]])</f>
        <v>0</v>
      </c>
      <c r="E26" s="23">
        <f t="shared" si="2"/>
        <v>0</v>
      </c>
    </row>
    <row r="27" spans="2:5" x14ac:dyDescent="0.3">
      <c r="B27" s="24">
        <f t="shared" si="1"/>
        <v>45163</v>
      </c>
      <c r="C27" s="25">
        <f>SUMIFS(td_Dados!L:L,td_Dados!K:K,"&lt;="&amp;Tabela2[[#This Row],[Date]])</f>
        <v>0</v>
      </c>
      <c r="D27" s="25">
        <f>SUMIFS(td_Dados!O:O,td_Dados!N:N,"&lt;="&amp;Tabela2[[#This Row],[Date]])</f>
        <v>0</v>
      </c>
      <c r="E27" s="23">
        <f t="shared" si="2"/>
        <v>0</v>
      </c>
    </row>
    <row r="28" spans="2:5" x14ac:dyDescent="0.3">
      <c r="B28" s="24">
        <f t="shared" si="1"/>
        <v>45164</v>
      </c>
      <c r="C28" s="25">
        <f>SUMIFS(td_Dados!L:L,td_Dados!K:K,"&lt;="&amp;Tabela2[[#This Row],[Date]])</f>
        <v>0</v>
      </c>
      <c r="D28" s="25">
        <f>SUMIFS(td_Dados!O:O,td_Dados!N:N,"&lt;="&amp;Tabela2[[#This Row],[Date]])</f>
        <v>0</v>
      </c>
      <c r="E28" s="23">
        <f t="shared" si="2"/>
        <v>0</v>
      </c>
    </row>
    <row r="29" spans="2:5" x14ac:dyDescent="0.3">
      <c r="B29" s="24">
        <f t="shared" si="1"/>
        <v>45165</v>
      </c>
      <c r="C29" s="25">
        <f>SUMIFS(td_Dados!L:L,td_Dados!K:K,"&lt;="&amp;Tabela2[[#This Row],[Date]])</f>
        <v>0</v>
      </c>
      <c r="D29" s="25">
        <f>SUMIFS(td_Dados!O:O,td_Dados!N:N,"&lt;="&amp;Tabela2[[#This Row],[Date]])</f>
        <v>0</v>
      </c>
      <c r="E29" s="23">
        <f t="shared" si="2"/>
        <v>0</v>
      </c>
    </row>
    <row r="30" spans="2:5" x14ac:dyDescent="0.3">
      <c r="B30" s="24">
        <f t="shared" si="1"/>
        <v>45166</v>
      </c>
      <c r="C30" s="25">
        <f>SUMIFS(td_Dados!L:L,td_Dados!K:K,"&lt;="&amp;Tabela2[[#This Row],[Date]])</f>
        <v>0</v>
      </c>
      <c r="D30" s="25">
        <f>SUMIFS(td_Dados!O:O,td_Dados!N:N,"&lt;="&amp;Tabela2[[#This Row],[Date]])</f>
        <v>0</v>
      </c>
      <c r="E30" s="23">
        <f t="shared" si="2"/>
        <v>0</v>
      </c>
    </row>
    <row r="31" spans="2:5" x14ac:dyDescent="0.3">
      <c r="B31" s="24">
        <f t="shared" si="1"/>
        <v>45167</v>
      </c>
      <c r="C31" s="25">
        <f>SUMIFS(td_Dados!L:L,td_Dados!K:K,"&lt;="&amp;Tabela2[[#This Row],[Date]])</f>
        <v>0</v>
      </c>
      <c r="D31" s="25">
        <f>SUMIFS(td_Dados!O:O,td_Dados!N:N,"&lt;="&amp;Tabela2[[#This Row],[Date]])</f>
        <v>0</v>
      </c>
      <c r="E31" s="23">
        <f t="shared" si="2"/>
        <v>0</v>
      </c>
    </row>
    <row r="32" spans="2:5" x14ac:dyDescent="0.3">
      <c r="B32" s="24">
        <f t="shared" si="1"/>
        <v>45168</v>
      </c>
      <c r="C32" s="25">
        <f>SUMIFS(td_Dados!L:L,td_Dados!K:K,"&lt;="&amp;Tabela2[[#This Row],[Date]])</f>
        <v>0</v>
      </c>
      <c r="D32" s="25">
        <f>SUMIFS(td_Dados!O:O,td_Dados!N:N,"&lt;="&amp;Tabela2[[#This Row],[Date]])</f>
        <v>0</v>
      </c>
      <c r="E32" s="23">
        <f t="shared" si="2"/>
        <v>0</v>
      </c>
    </row>
    <row r="33" spans="2:5" x14ac:dyDescent="0.3">
      <c r="B33" s="24">
        <f t="shared" si="1"/>
        <v>45169</v>
      </c>
      <c r="C33" s="25">
        <f>SUMIFS(td_Dados!L:L,td_Dados!K:K,"&lt;="&amp;Tabela2[[#This Row],[Date]])</f>
        <v>0</v>
      </c>
      <c r="D33" s="25">
        <f>SUMIFS(td_Dados!O:O,td_Dados!N:N,"&lt;="&amp;Tabela2[[#This Row],[Date]])</f>
        <v>0</v>
      </c>
      <c r="E33" s="23">
        <f t="shared" si="2"/>
        <v>0</v>
      </c>
    </row>
    <row r="34" spans="2:5" x14ac:dyDescent="0.3">
      <c r="B34" s="24">
        <f t="shared" si="1"/>
        <v>45170</v>
      </c>
      <c r="C34" s="25">
        <f>SUMIFS(td_Dados!L:L,td_Dados!K:K,"&lt;="&amp;Tabela2[[#This Row],[Date]])</f>
        <v>0</v>
      </c>
      <c r="D34" s="25">
        <f>SUMIFS(td_Dados!O:O,td_Dados!N:N,"&lt;="&amp;Tabela2[[#This Row],[Date]])</f>
        <v>0</v>
      </c>
      <c r="E34" s="23">
        <f t="shared" si="2"/>
        <v>0</v>
      </c>
    </row>
    <row r="35" spans="2:5" x14ac:dyDescent="0.3">
      <c r="B35" s="24">
        <f t="shared" si="1"/>
        <v>45171</v>
      </c>
      <c r="C35" s="25">
        <f>SUMIFS(td_Dados!L:L,td_Dados!K:K,"&lt;="&amp;Tabela2[[#This Row],[Date]])</f>
        <v>0</v>
      </c>
      <c r="D35" s="25">
        <f>SUMIFS(td_Dados!O:O,td_Dados!N:N,"&lt;="&amp;Tabela2[[#This Row],[Date]])</f>
        <v>0</v>
      </c>
      <c r="E35" s="23">
        <f t="shared" si="2"/>
        <v>0</v>
      </c>
    </row>
    <row r="36" spans="2:5" x14ac:dyDescent="0.3">
      <c r="B36" s="24">
        <f t="shared" si="1"/>
        <v>45172</v>
      </c>
      <c r="C36" s="25">
        <f>SUMIFS(td_Dados!L:L,td_Dados!K:K,"&lt;="&amp;Tabela2[[#This Row],[Date]])</f>
        <v>0</v>
      </c>
      <c r="D36" s="25">
        <f>SUMIFS(td_Dados!O:O,td_Dados!N:N,"&lt;="&amp;Tabela2[[#This Row],[Date]])</f>
        <v>0</v>
      </c>
      <c r="E36" s="23">
        <f t="shared" si="2"/>
        <v>0</v>
      </c>
    </row>
    <row r="37" spans="2:5" x14ac:dyDescent="0.3">
      <c r="B37" s="24">
        <f t="shared" si="1"/>
        <v>45173</v>
      </c>
      <c r="C37" s="25">
        <f>SUMIFS(td_Dados!L:L,td_Dados!K:K,"&lt;="&amp;Tabela2[[#This Row],[Date]])</f>
        <v>0</v>
      </c>
      <c r="D37" s="25">
        <f>SUMIFS(td_Dados!O:O,td_Dados!N:N,"&lt;="&amp;Tabela2[[#This Row],[Date]])</f>
        <v>0</v>
      </c>
      <c r="E37" s="23">
        <f t="shared" si="2"/>
        <v>0</v>
      </c>
    </row>
    <row r="38" spans="2:5" x14ac:dyDescent="0.3">
      <c r="B38" s="24">
        <f t="shared" si="1"/>
        <v>45174</v>
      </c>
      <c r="C38" s="25">
        <f>SUMIFS(td_Dados!L:L,td_Dados!K:K,"&lt;="&amp;Tabela2[[#This Row],[Date]])</f>
        <v>0</v>
      </c>
      <c r="D38" s="25">
        <f>SUMIFS(td_Dados!O:O,td_Dados!N:N,"&lt;="&amp;Tabela2[[#This Row],[Date]])</f>
        <v>0</v>
      </c>
      <c r="E38" s="23">
        <f t="shared" si="2"/>
        <v>0</v>
      </c>
    </row>
    <row r="39" spans="2:5" x14ac:dyDescent="0.3">
      <c r="B39" s="24">
        <f t="shared" si="1"/>
        <v>45175</v>
      </c>
      <c r="C39" s="25">
        <f>SUMIFS(td_Dados!L:L,td_Dados!K:K,"&lt;="&amp;Tabela2[[#This Row],[Date]])</f>
        <v>0</v>
      </c>
      <c r="D39" s="25">
        <f>SUMIFS(td_Dados!O:O,td_Dados!N:N,"&lt;="&amp;Tabela2[[#This Row],[Date]])</f>
        <v>0</v>
      </c>
      <c r="E39" s="23">
        <f t="shared" si="2"/>
        <v>0</v>
      </c>
    </row>
    <row r="40" spans="2:5" x14ac:dyDescent="0.3">
      <c r="B40" s="24">
        <f t="shared" si="1"/>
        <v>45176</v>
      </c>
      <c r="C40" s="25">
        <f>SUMIFS(td_Dados!L:L,td_Dados!K:K,"&lt;="&amp;Tabela2[[#This Row],[Date]])</f>
        <v>0</v>
      </c>
      <c r="D40" s="25">
        <f>SUMIFS(td_Dados!O:O,td_Dados!N:N,"&lt;="&amp;Tabela2[[#This Row],[Date]])</f>
        <v>0</v>
      </c>
      <c r="E40" s="23">
        <f t="shared" si="2"/>
        <v>0</v>
      </c>
    </row>
    <row r="41" spans="2:5" x14ac:dyDescent="0.3">
      <c r="B41" s="24">
        <f t="shared" si="1"/>
        <v>45177</v>
      </c>
      <c r="C41" s="25">
        <f>SUMIFS(td_Dados!L:L,td_Dados!K:K,"&lt;="&amp;Tabela2[[#This Row],[Date]])</f>
        <v>0</v>
      </c>
      <c r="D41" s="25">
        <f>SUMIFS(td_Dados!O:O,td_Dados!N:N,"&lt;="&amp;Tabela2[[#This Row],[Date]])</f>
        <v>0</v>
      </c>
      <c r="E41" s="23">
        <f t="shared" si="2"/>
        <v>0</v>
      </c>
    </row>
    <row r="42" spans="2:5" x14ac:dyDescent="0.3">
      <c r="B42" s="24">
        <f t="shared" si="1"/>
        <v>45178</v>
      </c>
      <c r="C42" s="25">
        <f>SUMIFS(td_Dados!L:L,td_Dados!K:K,"&lt;="&amp;Tabela2[[#This Row],[Date]])</f>
        <v>0</v>
      </c>
      <c r="D42" s="25">
        <f>SUMIFS(td_Dados!O:O,td_Dados!N:N,"&lt;="&amp;Tabela2[[#This Row],[Date]])</f>
        <v>0</v>
      </c>
      <c r="E42" s="23">
        <f t="shared" si="2"/>
        <v>0</v>
      </c>
    </row>
    <row r="43" spans="2:5" x14ac:dyDescent="0.3">
      <c r="B43" s="24">
        <f t="shared" si="1"/>
        <v>45179</v>
      </c>
      <c r="C43" s="25">
        <f>SUMIFS(td_Dados!L:L,td_Dados!K:K,"&lt;="&amp;Tabela2[[#This Row],[Date]])</f>
        <v>0</v>
      </c>
      <c r="D43" s="25">
        <f>SUMIFS(td_Dados!O:O,td_Dados!N:N,"&lt;="&amp;Tabela2[[#This Row],[Date]])</f>
        <v>0</v>
      </c>
      <c r="E43" s="23">
        <f t="shared" si="2"/>
        <v>0</v>
      </c>
    </row>
    <row r="44" spans="2:5" x14ac:dyDescent="0.3">
      <c r="B44" s="24">
        <f t="shared" si="1"/>
        <v>45180</v>
      </c>
      <c r="C44" s="25">
        <f>SUMIFS(td_Dados!L:L,td_Dados!K:K,"&lt;="&amp;Tabela2[[#This Row],[Date]])</f>
        <v>0</v>
      </c>
      <c r="D44" s="25">
        <f>SUMIFS(td_Dados!O:O,td_Dados!N:N,"&lt;="&amp;Tabela2[[#This Row],[Date]])</f>
        <v>0</v>
      </c>
      <c r="E44" s="23">
        <f t="shared" si="2"/>
        <v>0</v>
      </c>
    </row>
    <row r="45" spans="2:5" x14ac:dyDescent="0.3">
      <c r="B45" s="24">
        <f t="shared" si="1"/>
        <v>45181</v>
      </c>
      <c r="C45" s="25">
        <f>SUMIFS(td_Dados!L:L,td_Dados!K:K,"&lt;="&amp;Tabela2[[#This Row],[Date]])</f>
        <v>0</v>
      </c>
      <c r="D45" s="25">
        <f>SUMIFS(td_Dados!O:O,td_Dados!N:N,"&lt;="&amp;Tabela2[[#This Row],[Date]])</f>
        <v>0</v>
      </c>
      <c r="E45" s="23">
        <f t="shared" si="2"/>
        <v>0</v>
      </c>
    </row>
    <row r="46" spans="2:5" x14ac:dyDescent="0.3">
      <c r="B46" s="24">
        <f t="shared" si="1"/>
        <v>45182</v>
      </c>
      <c r="C46" s="25">
        <f>SUMIFS(td_Dados!L:L,td_Dados!K:K,"&lt;="&amp;Tabela2[[#This Row],[Date]])</f>
        <v>0</v>
      </c>
      <c r="D46" s="25">
        <f>SUMIFS(td_Dados!O:O,td_Dados!N:N,"&lt;="&amp;Tabela2[[#This Row],[Date]])</f>
        <v>0</v>
      </c>
      <c r="E46" s="23">
        <f t="shared" si="2"/>
        <v>0</v>
      </c>
    </row>
    <row r="47" spans="2:5" x14ac:dyDescent="0.3">
      <c r="B47" s="24">
        <f t="shared" si="1"/>
        <v>45183</v>
      </c>
      <c r="C47" s="25">
        <f>SUMIFS(td_Dados!L:L,td_Dados!K:K,"&lt;="&amp;Tabela2[[#This Row],[Date]])</f>
        <v>0</v>
      </c>
      <c r="D47" s="25">
        <f>SUMIFS(td_Dados!O:O,td_Dados!N:N,"&lt;="&amp;Tabela2[[#This Row],[Date]])</f>
        <v>0</v>
      </c>
      <c r="E47" s="23">
        <f t="shared" si="2"/>
        <v>0</v>
      </c>
    </row>
    <row r="48" spans="2:5" x14ac:dyDescent="0.3">
      <c r="B48" s="24">
        <f t="shared" si="1"/>
        <v>45184</v>
      </c>
      <c r="C48" s="25">
        <f>SUMIFS(td_Dados!L:L,td_Dados!K:K,"&lt;="&amp;Tabela2[[#This Row],[Date]])</f>
        <v>2</v>
      </c>
      <c r="D48" s="25">
        <f>SUMIFS(td_Dados!O:O,td_Dados!N:N,"&lt;="&amp;Tabela2[[#This Row],[Date]])</f>
        <v>0</v>
      </c>
      <c r="E48" s="23">
        <f t="shared" si="2"/>
        <v>0</v>
      </c>
    </row>
    <row r="49" spans="2:5" x14ac:dyDescent="0.3">
      <c r="B49" s="24">
        <f t="shared" si="1"/>
        <v>45185</v>
      </c>
      <c r="C49" s="25">
        <f>SUMIFS(td_Dados!L:L,td_Dados!K:K,"&lt;="&amp;Tabela2[[#This Row],[Date]])</f>
        <v>2</v>
      </c>
      <c r="D49" s="25">
        <f>SUMIFS(td_Dados!O:O,td_Dados!N:N,"&lt;="&amp;Tabela2[[#This Row],[Date]])</f>
        <v>0</v>
      </c>
      <c r="E49" s="23">
        <f t="shared" si="2"/>
        <v>0</v>
      </c>
    </row>
    <row r="50" spans="2:5" x14ac:dyDescent="0.3">
      <c r="B50" s="24">
        <f t="shared" si="1"/>
        <v>45186</v>
      </c>
      <c r="C50" s="25">
        <f>SUMIFS(td_Dados!L:L,td_Dados!K:K,"&lt;="&amp;Tabela2[[#This Row],[Date]])</f>
        <v>2</v>
      </c>
      <c r="D50" s="25">
        <f>SUMIFS(td_Dados!O:O,td_Dados!N:N,"&lt;="&amp;Tabela2[[#This Row],[Date]])</f>
        <v>0</v>
      </c>
      <c r="E50" s="23">
        <f t="shared" si="2"/>
        <v>0</v>
      </c>
    </row>
    <row r="51" spans="2:5" x14ac:dyDescent="0.3">
      <c r="B51" s="24">
        <f t="shared" si="1"/>
        <v>45187</v>
      </c>
      <c r="C51" s="25">
        <f>SUMIFS(td_Dados!L:L,td_Dados!K:K,"&lt;="&amp;Tabela2[[#This Row],[Date]])</f>
        <v>2</v>
      </c>
      <c r="D51" s="25">
        <f>SUMIFS(td_Dados!O:O,td_Dados!N:N,"&lt;="&amp;Tabela2[[#This Row],[Date]])</f>
        <v>0</v>
      </c>
      <c r="E51" s="23">
        <f t="shared" si="2"/>
        <v>0</v>
      </c>
    </row>
    <row r="52" spans="2:5" x14ac:dyDescent="0.3">
      <c r="B52" s="24">
        <f t="shared" si="1"/>
        <v>45188</v>
      </c>
      <c r="C52" s="25">
        <f>SUMIFS(td_Dados!L:L,td_Dados!K:K,"&lt;="&amp;Tabela2[[#This Row],[Date]])</f>
        <v>2</v>
      </c>
      <c r="D52" s="25">
        <f>SUMIFS(td_Dados!O:O,td_Dados!N:N,"&lt;="&amp;Tabela2[[#This Row],[Date]])</f>
        <v>0</v>
      </c>
      <c r="E52" s="23">
        <f t="shared" si="2"/>
        <v>0</v>
      </c>
    </row>
    <row r="53" spans="2:5" x14ac:dyDescent="0.3">
      <c r="B53" s="24">
        <f t="shared" si="1"/>
        <v>45189</v>
      </c>
      <c r="C53" s="25">
        <f>SUMIFS(td_Dados!L:L,td_Dados!K:K,"&lt;="&amp;Tabela2[[#This Row],[Date]])</f>
        <v>2</v>
      </c>
      <c r="D53" s="25">
        <f>SUMIFS(td_Dados!O:O,td_Dados!N:N,"&lt;="&amp;Tabela2[[#This Row],[Date]])</f>
        <v>0</v>
      </c>
      <c r="E53" s="23">
        <f t="shared" si="2"/>
        <v>0</v>
      </c>
    </row>
    <row r="54" spans="2:5" x14ac:dyDescent="0.3">
      <c r="B54" s="24">
        <f t="shared" si="1"/>
        <v>45190</v>
      </c>
      <c r="C54" s="25">
        <f>SUMIFS(td_Dados!L:L,td_Dados!K:K,"&lt;="&amp;Tabela2[[#This Row],[Date]])</f>
        <v>2</v>
      </c>
      <c r="D54" s="25">
        <f>SUMIFS(td_Dados!O:O,td_Dados!N:N,"&lt;="&amp;Tabela2[[#This Row],[Date]])</f>
        <v>0</v>
      </c>
      <c r="E54" s="23">
        <f t="shared" si="2"/>
        <v>0</v>
      </c>
    </row>
    <row r="55" spans="2:5" x14ac:dyDescent="0.3">
      <c r="B55" s="24">
        <f t="shared" si="1"/>
        <v>45191</v>
      </c>
      <c r="C55" s="25">
        <f>SUMIFS(td_Dados!L:L,td_Dados!K:K,"&lt;="&amp;Tabela2[[#This Row],[Date]])</f>
        <v>2</v>
      </c>
      <c r="D55" s="25">
        <f>SUMIFS(td_Dados!O:O,td_Dados!N:N,"&lt;="&amp;Tabela2[[#This Row],[Date]])</f>
        <v>0</v>
      </c>
      <c r="E55" s="23">
        <f t="shared" si="2"/>
        <v>0</v>
      </c>
    </row>
    <row r="56" spans="2:5" x14ac:dyDescent="0.3">
      <c r="B56" s="24">
        <f t="shared" si="1"/>
        <v>45192</v>
      </c>
      <c r="C56" s="25">
        <f>SUMIFS(td_Dados!L:L,td_Dados!K:K,"&lt;="&amp;Tabela2[[#This Row],[Date]])</f>
        <v>2</v>
      </c>
      <c r="D56" s="25">
        <f>SUMIFS(td_Dados!O:O,td_Dados!N:N,"&lt;="&amp;Tabela2[[#This Row],[Date]])</f>
        <v>0</v>
      </c>
      <c r="E56" s="23">
        <f t="shared" si="2"/>
        <v>0</v>
      </c>
    </row>
    <row r="57" spans="2:5" x14ac:dyDescent="0.3">
      <c r="B57" s="24">
        <f t="shared" si="1"/>
        <v>45193</v>
      </c>
      <c r="C57" s="25">
        <f>SUMIFS(td_Dados!L:L,td_Dados!K:K,"&lt;="&amp;Tabela2[[#This Row],[Date]])</f>
        <v>2</v>
      </c>
      <c r="D57" s="25">
        <f>SUMIFS(td_Dados!O:O,td_Dados!N:N,"&lt;="&amp;Tabela2[[#This Row],[Date]])</f>
        <v>0</v>
      </c>
      <c r="E57" s="23">
        <f t="shared" si="2"/>
        <v>0</v>
      </c>
    </row>
    <row r="58" spans="2:5" x14ac:dyDescent="0.3">
      <c r="B58" s="24">
        <f t="shared" si="1"/>
        <v>45194</v>
      </c>
      <c r="C58" s="25">
        <f>SUMIFS(td_Dados!L:L,td_Dados!K:K,"&lt;="&amp;Tabela2[[#This Row],[Date]])</f>
        <v>2</v>
      </c>
      <c r="D58" s="25">
        <f>SUMIFS(td_Dados!O:O,td_Dados!N:N,"&lt;="&amp;Tabela2[[#This Row],[Date]])</f>
        <v>0</v>
      </c>
      <c r="E58" s="23">
        <f t="shared" si="2"/>
        <v>0</v>
      </c>
    </row>
    <row r="59" spans="2:5" x14ac:dyDescent="0.3">
      <c r="B59" s="24">
        <f t="shared" si="1"/>
        <v>45195</v>
      </c>
      <c r="C59" s="25">
        <f>SUMIFS(td_Dados!L:L,td_Dados!K:K,"&lt;="&amp;Tabela2[[#This Row],[Date]])</f>
        <v>2</v>
      </c>
      <c r="D59" s="25">
        <f>SUMIFS(td_Dados!O:O,td_Dados!N:N,"&lt;="&amp;Tabela2[[#This Row],[Date]])</f>
        <v>0</v>
      </c>
      <c r="E59" s="23">
        <f t="shared" si="2"/>
        <v>0</v>
      </c>
    </row>
    <row r="60" spans="2:5" x14ac:dyDescent="0.3">
      <c r="B60" s="24">
        <f t="shared" si="1"/>
        <v>45196</v>
      </c>
      <c r="C60" s="25">
        <f>SUMIFS(td_Dados!L:L,td_Dados!K:K,"&lt;="&amp;Tabela2[[#This Row],[Date]])</f>
        <v>2</v>
      </c>
      <c r="D60" s="25">
        <f>SUMIFS(td_Dados!O:O,td_Dados!N:N,"&lt;="&amp;Tabela2[[#This Row],[Date]])</f>
        <v>0</v>
      </c>
      <c r="E60" s="23">
        <f t="shared" si="2"/>
        <v>0</v>
      </c>
    </row>
    <row r="61" spans="2:5" x14ac:dyDescent="0.3">
      <c r="B61" s="24">
        <f t="shared" si="1"/>
        <v>45197</v>
      </c>
      <c r="C61" s="25">
        <f>SUMIFS(td_Dados!L:L,td_Dados!K:K,"&lt;="&amp;Tabela2[[#This Row],[Date]])</f>
        <v>2</v>
      </c>
      <c r="D61" s="25">
        <f>SUMIFS(td_Dados!O:O,td_Dados!N:N,"&lt;="&amp;Tabela2[[#This Row],[Date]])</f>
        <v>0</v>
      </c>
      <c r="E61" s="23">
        <f t="shared" si="2"/>
        <v>0</v>
      </c>
    </row>
    <row r="62" spans="2:5" x14ac:dyDescent="0.3">
      <c r="B62" s="24">
        <f t="shared" si="1"/>
        <v>45198</v>
      </c>
      <c r="C62" s="25">
        <f>SUMIFS(td_Dados!L:L,td_Dados!K:K,"&lt;="&amp;Tabela2[[#This Row],[Date]])</f>
        <v>2</v>
      </c>
      <c r="D62" s="25">
        <f>SUMIFS(td_Dados!O:O,td_Dados!N:N,"&lt;="&amp;Tabela2[[#This Row],[Date]])</f>
        <v>0</v>
      </c>
      <c r="E62" s="23">
        <f t="shared" si="2"/>
        <v>0</v>
      </c>
    </row>
    <row r="63" spans="2:5" x14ac:dyDescent="0.3">
      <c r="B63" s="24">
        <f t="shared" si="1"/>
        <v>45199</v>
      </c>
      <c r="C63" s="25">
        <f>SUMIFS(td_Dados!L:L,td_Dados!K:K,"&lt;="&amp;Tabela2[[#This Row],[Date]])</f>
        <v>3</v>
      </c>
      <c r="D63" s="25">
        <f>SUMIFS(td_Dados!O:O,td_Dados!N:N,"&lt;="&amp;Tabela2[[#This Row],[Date]])</f>
        <v>0</v>
      </c>
      <c r="E63" s="23">
        <f t="shared" si="2"/>
        <v>0</v>
      </c>
    </row>
    <row r="64" spans="2:5" x14ac:dyDescent="0.3">
      <c r="B64" s="24">
        <f t="shared" si="1"/>
        <v>45200</v>
      </c>
      <c r="C64" s="25">
        <f>SUMIFS(td_Dados!L:L,td_Dados!K:K,"&lt;="&amp;Tabela2[[#This Row],[Date]])</f>
        <v>3</v>
      </c>
      <c r="D64" s="25">
        <f>SUMIFS(td_Dados!O:O,td_Dados!N:N,"&lt;="&amp;Tabela2[[#This Row],[Date]])</f>
        <v>0</v>
      </c>
      <c r="E64" s="23">
        <f t="shared" si="2"/>
        <v>0</v>
      </c>
    </row>
    <row r="65" spans="2:5" x14ac:dyDescent="0.3">
      <c r="B65" s="24">
        <f t="shared" si="1"/>
        <v>45201</v>
      </c>
      <c r="C65" s="25">
        <f>SUMIFS(td_Dados!L:L,td_Dados!K:K,"&lt;="&amp;Tabela2[[#This Row],[Date]])</f>
        <v>3</v>
      </c>
      <c r="D65" s="25">
        <f>SUMIFS(td_Dados!O:O,td_Dados!N:N,"&lt;="&amp;Tabela2[[#This Row],[Date]])</f>
        <v>0</v>
      </c>
      <c r="E65" s="23">
        <f t="shared" si="2"/>
        <v>0</v>
      </c>
    </row>
    <row r="66" spans="2:5" x14ac:dyDescent="0.3">
      <c r="B66" s="24">
        <f t="shared" si="1"/>
        <v>45202</v>
      </c>
      <c r="C66" s="25">
        <f>SUMIFS(td_Dados!L:L,td_Dados!K:K,"&lt;="&amp;Tabela2[[#This Row],[Date]])</f>
        <v>3</v>
      </c>
      <c r="D66" s="25">
        <f>SUMIFS(td_Dados!O:O,td_Dados!N:N,"&lt;="&amp;Tabela2[[#This Row],[Date]])</f>
        <v>0</v>
      </c>
      <c r="E66" s="23">
        <f t="shared" si="2"/>
        <v>0</v>
      </c>
    </row>
    <row r="67" spans="2:5" x14ac:dyDescent="0.3">
      <c r="B67" s="24">
        <f t="shared" si="1"/>
        <v>45203</v>
      </c>
      <c r="C67" s="25">
        <f>SUMIFS(td_Dados!L:L,td_Dados!K:K,"&lt;="&amp;Tabela2[[#This Row],[Date]])</f>
        <v>3</v>
      </c>
      <c r="D67" s="25">
        <f>SUMIFS(td_Dados!O:O,td_Dados!N:N,"&lt;="&amp;Tabela2[[#This Row],[Date]])</f>
        <v>0</v>
      </c>
      <c r="E67" s="23">
        <f t="shared" si="2"/>
        <v>0</v>
      </c>
    </row>
    <row r="68" spans="2:5" x14ac:dyDescent="0.3">
      <c r="B68" s="24">
        <f t="shared" si="1"/>
        <v>45204</v>
      </c>
      <c r="C68" s="25">
        <f>SUMIFS(td_Dados!L:L,td_Dados!K:K,"&lt;="&amp;Tabela2[[#This Row],[Date]])</f>
        <v>3</v>
      </c>
      <c r="D68" s="25">
        <f>SUMIFS(td_Dados!O:O,td_Dados!N:N,"&lt;="&amp;Tabela2[[#This Row],[Date]])</f>
        <v>0</v>
      </c>
      <c r="E68" s="23">
        <f t="shared" ref="E68:E131" si="3">IFERROR(D68/C68,0)</f>
        <v>0</v>
      </c>
    </row>
    <row r="69" spans="2:5" x14ac:dyDescent="0.3">
      <c r="B69" s="24">
        <f t="shared" ref="B69:B132" si="4">B68+1</f>
        <v>45205</v>
      </c>
      <c r="C69" s="25">
        <f>SUMIFS(td_Dados!L:L,td_Dados!K:K,"&lt;="&amp;Tabela2[[#This Row],[Date]])</f>
        <v>3</v>
      </c>
      <c r="D69" s="25">
        <f>SUMIFS(td_Dados!O:O,td_Dados!N:N,"&lt;="&amp;Tabela2[[#This Row],[Date]])</f>
        <v>0</v>
      </c>
      <c r="E69" s="23">
        <f t="shared" si="3"/>
        <v>0</v>
      </c>
    </row>
    <row r="70" spans="2:5" x14ac:dyDescent="0.3">
      <c r="B70" s="24">
        <f t="shared" si="4"/>
        <v>45206</v>
      </c>
      <c r="C70" s="25">
        <f>SUMIFS(td_Dados!L:L,td_Dados!K:K,"&lt;="&amp;Tabela2[[#This Row],[Date]])</f>
        <v>3</v>
      </c>
      <c r="D70" s="25">
        <f>SUMIFS(td_Dados!O:O,td_Dados!N:N,"&lt;="&amp;Tabela2[[#This Row],[Date]])</f>
        <v>0</v>
      </c>
      <c r="E70" s="23">
        <f t="shared" si="3"/>
        <v>0</v>
      </c>
    </row>
    <row r="71" spans="2:5" x14ac:dyDescent="0.3">
      <c r="B71" s="24">
        <f t="shared" si="4"/>
        <v>45207</v>
      </c>
      <c r="C71" s="25">
        <f>SUMIFS(td_Dados!L:L,td_Dados!K:K,"&lt;="&amp;Tabela2[[#This Row],[Date]])</f>
        <v>3</v>
      </c>
      <c r="D71" s="25">
        <f>SUMIFS(td_Dados!O:O,td_Dados!N:N,"&lt;="&amp;Tabela2[[#This Row],[Date]])</f>
        <v>0</v>
      </c>
      <c r="E71" s="23">
        <f t="shared" si="3"/>
        <v>0</v>
      </c>
    </row>
    <row r="72" spans="2:5" x14ac:dyDescent="0.3">
      <c r="B72" s="24">
        <f t="shared" si="4"/>
        <v>45208</v>
      </c>
      <c r="C72" s="25">
        <f>SUMIFS(td_Dados!L:L,td_Dados!K:K,"&lt;="&amp;Tabela2[[#This Row],[Date]])</f>
        <v>3</v>
      </c>
      <c r="D72" s="25">
        <f>SUMIFS(td_Dados!O:O,td_Dados!N:N,"&lt;="&amp;Tabela2[[#This Row],[Date]])</f>
        <v>0</v>
      </c>
      <c r="E72" s="23">
        <f t="shared" si="3"/>
        <v>0</v>
      </c>
    </row>
    <row r="73" spans="2:5" x14ac:dyDescent="0.3">
      <c r="B73" s="24">
        <f t="shared" si="4"/>
        <v>45209</v>
      </c>
      <c r="C73" s="25">
        <f>SUMIFS(td_Dados!L:L,td_Dados!K:K,"&lt;="&amp;Tabela2[[#This Row],[Date]])</f>
        <v>3</v>
      </c>
      <c r="D73" s="25">
        <f>SUMIFS(td_Dados!O:O,td_Dados!N:N,"&lt;="&amp;Tabela2[[#This Row],[Date]])</f>
        <v>0</v>
      </c>
      <c r="E73" s="23">
        <f t="shared" si="3"/>
        <v>0</v>
      </c>
    </row>
    <row r="74" spans="2:5" x14ac:dyDescent="0.3">
      <c r="B74" s="24">
        <f t="shared" si="4"/>
        <v>45210</v>
      </c>
      <c r="C74" s="25">
        <f>SUMIFS(td_Dados!L:L,td_Dados!K:K,"&lt;="&amp;Tabela2[[#This Row],[Date]])</f>
        <v>3</v>
      </c>
      <c r="D74" s="25">
        <f>SUMIFS(td_Dados!O:O,td_Dados!N:N,"&lt;="&amp;Tabela2[[#This Row],[Date]])</f>
        <v>0</v>
      </c>
      <c r="E74" s="23">
        <f t="shared" si="3"/>
        <v>0</v>
      </c>
    </row>
    <row r="75" spans="2:5" x14ac:dyDescent="0.3">
      <c r="B75" s="24">
        <f t="shared" si="4"/>
        <v>45211</v>
      </c>
      <c r="C75" s="25">
        <f>SUMIFS(td_Dados!L:L,td_Dados!K:K,"&lt;="&amp;Tabela2[[#This Row],[Date]])</f>
        <v>3</v>
      </c>
      <c r="D75" s="25">
        <f>SUMIFS(td_Dados!O:O,td_Dados!N:N,"&lt;="&amp;Tabela2[[#This Row],[Date]])</f>
        <v>0</v>
      </c>
      <c r="E75" s="23">
        <f t="shared" si="3"/>
        <v>0</v>
      </c>
    </row>
    <row r="76" spans="2:5" x14ac:dyDescent="0.3">
      <c r="B76" s="24">
        <f t="shared" si="4"/>
        <v>45212</v>
      </c>
      <c r="C76" s="25">
        <f>SUMIFS(td_Dados!L:L,td_Dados!K:K,"&lt;="&amp;Tabela2[[#This Row],[Date]])</f>
        <v>3</v>
      </c>
      <c r="D76" s="25">
        <f>SUMIFS(td_Dados!O:O,td_Dados!N:N,"&lt;="&amp;Tabela2[[#This Row],[Date]])</f>
        <v>0</v>
      </c>
      <c r="E76" s="23">
        <f t="shared" si="3"/>
        <v>0</v>
      </c>
    </row>
    <row r="77" spans="2:5" x14ac:dyDescent="0.3">
      <c r="B77" s="24">
        <f t="shared" si="4"/>
        <v>45213</v>
      </c>
      <c r="C77" s="25">
        <f>SUMIFS(td_Dados!L:L,td_Dados!K:K,"&lt;="&amp;Tabela2[[#This Row],[Date]])</f>
        <v>3</v>
      </c>
      <c r="D77" s="25">
        <f>SUMIFS(td_Dados!O:O,td_Dados!N:N,"&lt;="&amp;Tabela2[[#This Row],[Date]])</f>
        <v>0</v>
      </c>
      <c r="E77" s="23">
        <f t="shared" si="3"/>
        <v>0</v>
      </c>
    </row>
    <row r="78" spans="2:5" x14ac:dyDescent="0.3">
      <c r="B78" s="24">
        <f t="shared" si="4"/>
        <v>45214</v>
      </c>
      <c r="C78" s="25">
        <f>SUMIFS(td_Dados!L:L,td_Dados!K:K,"&lt;="&amp;Tabela2[[#This Row],[Date]])</f>
        <v>3</v>
      </c>
      <c r="D78" s="25">
        <f>SUMIFS(td_Dados!O:O,td_Dados!N:N,"&lt;="&amp;Tabela2[[#This Row],[Date]])</f>
        <v>0</v>
      </c>
      <c r="E78" s="23">
        <f t="shared" si="3"/>
        <v>0</v>
      </c>
    </row>
    <row r="79" spans="2:5" x14ac:dyDescent="0.3">
      <c r="B79" s="24">
        <f t="shared" si="4"/>
        <v>45215</v>
      </c>
      <c r="C79" s="25">
        <f>SUMIFS(td_Dados!L:L,td_Dados!K:K,"&lt;="&amp;Tabela2[[#This Row],[Date]])</f>
        <v>3</v>
      </c>
      <c r="D79" s="25">
        <f>SUMIFS(td_Dados!O:O,td_Dados!N:N,"&lt;="&amp;Tabela2[[#This Row],[Date]])</f>
        <v>0</v>
      </c>
      <c r="E79" s="23">
        <f t="shared" si="3"/>
        <v>0</v>
      </c>
    </row>
    <row r="80" spans="2:5" x14ac:dyDescent="0.3">
      <c r="B80" s="24">
        <f t="shared" si="4"/>
        <v>45216</v>
      </c>
      <c r="C80" s="25">
        <f>SUMIFS(td_Dados!L:L,td_Dados!K:K,"&lt;="&amp;Tabela2[[#This Row],[Date]])</f>
        <v>3</v>
      </c>
      <c r="D80" s="25">
        <f>SUMIFS(td_Dados!O:O,td_Dados!N:N,"&lt;="&amp;Tabela2[[#This Row],[Date]])</f>
        <v>0</v>
      </c>
      <c r="E80" s="23">
        <f t="shared" si="3"/>
        <v>0</v>
      </c>
    </row>
    <row r="81" spans="2:5" x14ac:dyDescent="0.3">
      <c r="B81" s="24">
        <f t="shared" si="4"/>
        <v>45217</v>
      </c>
      <c r="C81" s="25">
        <f>SUMIFS(td_Dados!L:L,td_Dados!K:K,"&lt;="&amp;Tabela2[[#This Row],[Date]])</f>
        <v>3</v>
      </c>
      <c r="D81" s="25">
        <f>SUMIFS(td_Dados!O:O,td_Dados!N:N,"&lt;="&amp;Tabela2[[#This Row],[Date]])</f>
        <v>0</v>
      </c>
      <c r="E81" s="23">
        <f t="shared" si="3"/>
        <v>0</v>
      </c>
    </row>
    <row r="82" spans="2:5" x14ac:dyDescent="0.3">
      <c r="B82" s="24">
        <f t="shared" si="4"/>
        <v>45218</v>
      </c>
      <c r="C82" s="25">
        <f>SUMIFS(td_Dados!L:L,td_Dados!K:K,"&lt;="&amp;Tabela2[[#This Row],[Date]])</f>
        <v>3</v>
      </c>
      <c r="D82" s="25">
        <f>SUMIFS(td_Dados!O:O,td_Dados!N:N,"&lt;="&amp;Tabela2[[#This Row],[Date]])</f>
        <v>0</v>
      </c>
      <c r="E82" s="23">
        <f t="shared" si="3"/>
        <v>0</v>
      </c>
    </row>
    <row r="83" spans="2:5" x14ac:dyDescent="0.3">
      <c r="B83" s="24">
        <f t="shared" si="4"/>
        <v>45219</v>
      </c>
      <c r="C83" s="25">
        <f>SUMIFS(td_Dados!L:L,td_Dados!K:K,"&lt;="&amp;Tabela2[[#This Row],[Date]])</f>
        <v>3</v>
      </c>
      <c r="D83" s="25">
        <f>SUMIFS(td_Dados!O:O,td_Dados!N:N,"&lt;="&amp;Tabela2[[#This Row],[Date]])</f>
        <v>0</v>
      </c>
      <c r="E83" s="23">
        <f t="shared" si="3"/>
        <v>0</v>
      </c>
    </row>
    <row r="84" spans="2:5" x14ac:dyDescent="0.3">
      <c r="B84" s="24">
        <f t="shared" si="4"/>
        <v>45220</v>
      </c>
      <c r="C84" s="25">
        <f>SUMIFS(td_Dados!L:L,td_Dados!K:K,"&lt;="&amp;Tabela2[[#This Row],[Date]])</f>
        <v>3</v>
      </c>
      <c r="D84" s="25">
        <f>SUMIFS(td_Dados!O:O,td_Dados!N:N,"&lt;="&amp;Tabela2[[#This Row],[Date]])</f>
        <v>0</v>
      </c>
      <c r="E84" s="23">
        <f t="shared" si="3"/>
        <v>0</v>
      </c>
    </row>
    <row r="85" spans="2:5" x14ac:dyDescent="0.3">
      <c r="B85" s="24">
        <f t="shared" si="4"/>
        <v>45221</v>
      </c>
      <c r="C85" s="25">
        <f>SUMIFS(td_Dados!L:L,td_Dados!K:K,"&lt;="&amp;Tabela2[[#This Row],[Date]])</f>
        <v>3</v>
      </c>
      <c r="D85" s="25">
        <f>SUMIFS(td_Dados!O:O,td_Dados!N:N,"&lt;="&amp;Tabela2[[#This Row],[Date]])</f>
        <v>0</v>
      </c>
      <c r="E85" s="23">
        <f t="shared" si="3"/>
        <v>0</v>
      </c>
    </row>
    <row r="86" spans="2:5" x14ac:dyDescent="0.3">
      <c r="B86" s="24">
        <f t="shared" si="4"/>
        <v>45222</v>
      </c>
      <c r="C86" s="25">
        <f>SUMIFS(td_Dados!L:L,td_Dados!K:K,"&lt;="&amp;Tabela2[[#This Row],[Date]])</f>
        <v>3</v>
      </c>
      <c r="D86" s="25">
        <f>SUMIFS(td_Dados!O:O,td_Dados!N:N,"&lt;="&amp;Tabela2[[#This Row],[Date]])</f>
        <v>0</v>
      </c>
      <c r="E86" s="23">
        <f t="shared" si="3"/>
        <v>0</v>
      </c>
    </row>
    <row r="87" spans="2:5" x14ac:dyDescent="0.3">
      <c r="B87" s="24">
        <f t="shared" si="4"/>
        <v>45223</v>
      </c>
      <c r="C87" s="25">
        <f>SUMIFS(td_Dados!L:L,td_Dados!K:K,"&lt;="&amp;Tabela2[[#This Row],[Date]])</f>
        <v>3</v>
      </c>
      <c r="D87" s="25">
        <f>SUMIFS(td_Dados!O:O,td_Dados!N:N,"&lt;="&amp;Tabela2[[#This Row],[Date]])</f>
        <v>0</v>
      </c>
      <c r="E87" s="23">
        <f t="shared" si="3"/>
        <v>0</v>
      </c>
    </row>
    <row r="88" spans="2:5" x14ac:dyDescent="0.3">
      <c r="B88" s="24">
        <f t="shared" si="4"/>
        <v>45224</v>
      </c>
      <c r="C88" s="25">
        <f>SUMIFS(td_Dados!L:L,td_Dados!K:K,"&lt;="&amp;Tabela2[[#This Row],[Date]])</f>
        <v>3</v>
      </c>
      <c r="D88" s="25">
        <f>SUMIFS(td_Dados!O:O,td_Dados!N:N,"&lt;="&amp;Tabela2[[#This Row],[Date]])</f>
        <v>0</v>
      </c>
      <c r="E88" s="23">
        <f t="shared" si="3"/>
        <v>0</v>
      </c>
    </row>
    <row r="89" spans="2:5" x14ac:dyDescent="0.3">
      <c r="B89" s="24">
        <f t="shared" si="4"/>
        <v>45225</v>
      </c>
      <c r="C89" s="25">
        <f>SUMIFS(td_Dados!L:L,td_Dados!K:K,"&lt;="&amp;Tabela2[[#This Row],[Date]])</f>
        <v>3</v>
      </c>
      <c r="D89" s="25">
        <f>SUMIFS(td_Dados!O:O,td_Dados!N:N,"&lt;="&amp;Tabela2[[#This Row],[Date]])</f>
        <v>0</v>
      </c>
      <c r="E89" s="23">
        <f t="shared" si="3"/>
        <v>0</v>
      </c>
    </row>
    <row r="90" spans="2:5" x14ac:dyDescent="0.3">
      <c r="B90" s="24">
        <f t="shared" si="4"/>
        <v>45226</v>
      </c>
      <c r="C90" s="25">
        <f>SUMIFS(td_Dados!L:L,td_Dados!K:K,"&lt;="&amp;Tabela2[[#This Row],[Date]])</f>
        <v>3</v>
      </c>
      <c r="D90" s="25">
        <f>SUMIFS(td_Dados!O:O,td_Dados!N:N,"&lt;="&amp;Tabela2[[#This Row],[Date]])</f>
        <v>0</v>
      </c>
      <c r="E90" s="23">
        <f t="shared" si="3"/>
        <v>0</v>
      </c>
    </row>
    <row r="91" spans="2:5" x14ac:dyDescent="0.3">
      <c r="B91" s="24">
        <f t="shared" si="4"/>
        <v>45227</v>
      </c>
      <c r="C91" s="25">
        <f>SUMIFS(td_Dados!L:L,td_Dados!K:K,"&lt;="&amp;Tabela2[[#This Row],[Date]])</f>
        <v>3</v>
      </c>
      <c r="D91" s="25">
        <f>SUMIFS(td_Dados!O:O,td_Dados!N:N,"&lt;="&amp;Tabela2[[#This Row],[Date]])</f>
        <v>0</v>
      </c>
      <c r="E91" s="23">
        <f t="shared" si="3"/>
        <v>0</v>
      </c>
    </row>
    <row r="92" spans="2:5" x14ac:dyDescent="0.3">
      <c r="B92" s="24">
        <f t="shared" si="4"/>
        <v>45228</v>
      </c>
      <c r="C92" s="25">
        <f>SUMIFS(td_Dados!L:L,td_Dados!K:K,"&lt;="&amp;Tabela2[[#This Row],[Date]])</f>
        <v>3</v>
      </c>
      <c r="D92" s="25">
        <f>SUMIFS(td_Dados!O:O,td_Dados!N:N,"&lt;="&amp;Tabela2[[#This Row],[Date]])</f>
        <v>0</v>
      </c>
      <c r="E92" s="23">
        <f t="shared" si="3"/>
        <v>0</v>
      </c>
    </row>
    <row r="93" spans="2:5" x14ac:dyDescent="0.3">
      <c r="B93" s="24">
        <f t="shared" si="4"/>
        <v>45229</v>
      </c>
      <c r="C93" s="25">
        <f>SUMIFS(td_Dados!L:L,td_Dados!K:K,"&lt;="&amp;Tabela2[[#This Row],[Date]])</f>
        <v>4</v>
      </c>
      <c r="D93" s="25">
        <f>SUMIFS(td_Dados!O:O,td_Dados!N:N,"&lt;="&amp;Tabela2[[#This Row],[Date]])</f>
        <v>0</v>
      </c>
      <c r="E93" s="23">
        <f t="shared" si="3"/>
        <v>0</v>
      </c>
    </row>
    <row r="94" spans="2:5" x14ac:dyDescent="0.3">
      <c r="B94" s="24">
        <f t="shared" si="4"/>
        <v>45230</v>
      </c>
      <c r="C94" s="25">
        <f>SUMIFS(td_Dados!L:L,td_Dados!K:K,"&lt;="&amp;Tabela2[[#This Row],[Date]])</f>
        <v>4</v>
      </c>
      <c r="D94" s="25">
        <f>SUMIFS(td_Dados!O:O,td_Dados!N:N,"&lt;="&amp;Tabela2[[#This Row],[Date]])</f>
        <v>0</v>
      </c>
      <c r="E94" s="23">
        <f t="shared" si="3"/>
        <v>0</v>
      </c>
    </row>
    <row r="95" spans="2:5" x14ac:dyDescent="0.3">
      <c r="B95" s="24">
        <f t="shared" si="4"/>
        <v>45231</v>
      </c>
      <c r="C95" s="25">
        <f>SUMIFS(td_Dados!L:L,td_Dados!K:K,"&lt;="&amp;Tabela2[[#This Row],[Date]])</f>
        <v>4</v>
      </c>
      <c r="D95" s="25">
        <f>SUMIFS(td_Dados!O:O,td_Dados!N:N,"&lt;="&amp;Tabela2[[#This Row],[Date]])</f>
        <v>0</v>
      </c>
      <c r="E95" s="23">
        <f t="shared" si="3"/>
        <v>0</v>
      </c>
    </row>
    <row r="96" spans="2:5" x14ac:dyDescent="0.3">
      <c r="B96" s="24">
        <f t="shared" si="4"/>
        <v>45232</v>
      </c>
      <c r="C96" s="25">
        <f>SUMIFS(td_Dados!L:L,td_Dados!K:K,"&lt;="&amp;Tabela2[[#This Row],[Date]])</f>
        <v>4</v>
      </c>
      <c r="D96" s="25">
        <f>SUMIFS(td_Dados!O:O,td_Dados!N:N,"&lt;="&amp;Tabela2[[#This Row],[Date]])</f>
        <v>0</v>
      </c>
      <c r="E96" s="23">
        <f t="shared" si="3"/>
        <v>0</v>
      </c>
    </row>
    <row r="97" spans="2:5" x14ac:dyDescent="0.3">
      <c r="B97" s="24">
        <f t="shared" si="4"/>
        <v>45233</v>
      </c>
      <c r="C97" s="25">
        <f>SUMIFS(td_Dados!L:L,td_Dados!K:K,"&lt;="&amp;Tabela2[[#This Row],[Date]])</f>
        <v>4</v>
      </c>
      <c r="D97" s="25">
        <f>SUMIFS(td_Dados!O:O,td_Dados!N:N,"&lt;="&amp;Tabela2[[#This Row],[Date]])</f>
        <v>0</v>
      </c>
      <c r="E97" s="23">
        <f t="shared" si="3"/>
        <v>0</v>
      </c>
    </row>
    <row r="98" spans="2:5" x14ac:dyDescent="0.3">
      <c r="B98" s="24">
        <f t="shared" si="4"/>
        <v>45234</v>
      </c>
      <c r="C98" s="25">
        <f>SUMIFS(td_Dados!L:L,td_Dados!K:K,"&lt;="&amp;Tabela2[[#This Row],[Date]])</f>
        <v>4</v>
      </c>
      <c r="D98" s="25">
        <f>SUMIFS(td_Dados!O:O,td_Dados!N:N,"&lt;="&amp;Tabela2[[#This Row],[Date]])</f>
        <v>0</v>
      </c>
      <c r="E98" s="23">
        <f t="shared" si="3"/>
        <v>0</v>
      </c>
    </row>
    <row r="99" spans="2:5" x14ac:dyDescent="0.3">
      <c r="B99" s="24">
        <f t="shared" si="4"/>
        <v>45235</v>
      </c>
      <c r="C99" s="25">
        <f>SUMIFS(td_Dados!L:L,td_Dados!K:K,"&lt;="&amp;Tabela2[[#This Row],[Date]])</f>
        <v>4</v>
      </c>
      <c r="D99" s="25">
        <f>SUMIFS(td_Dados!O:O,td_Dados!N:N,"&lt;="&amp;Tabela2[[#This Row],[Date]])</f>
        <v>0</v>
      </c>
      <c r="E99" s="23">
        <f t="shared" si="3"/>
        <v>0</v>
      </c>
    </row>
    <row r="100" spans="2:5" x14ac:dyDescent="0.3">
      <c r="B100" s="24">
        <f t="shared" si="4"/>
        <v>45236</v>
      </c>
      <c r="C100" s="25">
        <f>SUMIFS(td_Dados!L:L,td_Dados!K:K,"&lt;="&amp;Tabela2[[#This Row],[Date]])</f>
        <v>4</v>
      </c>
      <c r="D100" s="25">
        <f>SUMIFS(td_Dados!O:O,td_Dados!N:N,"&lt;="&amp;Tabela2[[#This Row],[Date]])</f>
        <v>0</v>
      </c>
      <c r="E100" s="23">
        <f t="shared" si="3"/>
        <v>0</v>
      </c>
    </row>
    <row r="101" spans="2:5" x14ac:dyDescent="0.3">
      <c r="B101" s="24">
        <f t="shared" si="4"/>
        <v>45237</v>
      </c>
      <c r="C101" s="25">
        <f>SUMIFS(td_Dados!L:L,td_Dados!K:K,"&lt;="&amp;Tabela2[[#This Row],[Date]])</f>
        <v>4</v>
      </c>
      <c r="D101" s="25">
        <f>SUMIFS(td_Dados!O:O,td_Dados!N:N,"&lt;="&amp;Tabela2[[#This Row],[Date]])</f>
        <v>0</v>
      </c>
      <c r="E101" s="23">
        <f t="shared" si="3"/>
        <v>0</v>
      </c>
    </row>
    <row r="102" spans="2:5" x14ac:dyDescent="0.3">
      <c r="B102" s="24">
        <f t="shared" si="4"/>
        <v>45238</v>
      </c>
      <c r="C102" s="25">
        <f>SUMIFS(td_Dados!L:L,td_Dados!K:K,"&lt;="&amp;Tabela2[[#This Row],[Date]])</f>
        <v>4</v>
      </c>
      <c r="D102" s="25">
        <f>SUMIFS(td_Dados!O:O,td_Dados!N:N,"&lt;="&amp;Tabela2[[#This Row],[Date]])</f>
        <v>0</v>
      </c>
      <c r="E102" s="23">
        <f t="shared" si="3"/>
        <v>0</v>
      </c>
    </row>
    <row r="103" spans="2:5" x14ac:dyDescent="0.3">
      <c r="B103" s="24">
        <f t="shared" si="4"/>
        <v>45239</v>
      </c>
      <c r="C103" s="25">
        <f>SUMIFS(td_Dados!L:L,td_Dados!K:K,"&lt;="&amp;Tabela2[[#This Row],[Date]])</f>
        <v>4</v>
      </c>
      <c r="D103" s="25">
        <f>SUMIFS(td_Dados!O:O,td_Dados!N:N,"&lt;="&amp;Tabela2[[#This Row],[Date]])</f>
        <v>0</v>
      </c>
      <c r="E103" s="23">
        <f t="shared" si="3"/>
        <v>0</v>
      </c>
    </row>
    <row r="104" spans="2:5" x14ac:dyDescent="0.3">
      <c r="B104" s="24">
        <f t="shared" si="4"/>
        <v>45240</v>
      </c>
      <c r="C104" s="25">
        <f>SUMIFS(td_Dados!L:L,td_Dados!K:K,"&lt;="&amp;Tabela2[[#This Row],[Date]])</f>
        <v>4</v>
      </c>
      <c r="D104" s="25">
        <f>SUMIFS(td_Dados!O:O,td_Dados!N:N,"&lt;="&amp;Tabela2[[#This Row],[Date]])</f>
        <v>0</v>
      </c>
      <c r="E104" s="23">
        <f t="shared" si="3"/>
        <v>0</v>
      </c>
    </row>
    <row r="105" spans="2:5" x14ac:dyDescent="0.3">
      <c r="B105" s="24">
        <f t="shared" si="4"/>
        <v>45241</v>
      </c>
      <c r="C105" s="25">
        <f>SUMIFS(td_Dados!L:L,td_Dados!K:K,"&lt;="&amp;Tabela2[[#This Row],[Date]])</f>
        <v>4</v>
      </c>
      <c r="D105" s="25">
        <f>SUMIFS(td_Dados!O:O,td_Dados!N:N,"&lt;="&amp;Tabela2[[#This Row],[Date]])</f>
        <v>0</v>
      </c>
      <c r="E105" s="23">
        <f t="shared" si="3"/>
        <v>0</v>
      </c>
    </row>
    <row r="106" spans="2:5" x14ac:dyDescent="0.3">
      <c r="B106" s="24">
        <f t="shared" si="4"/>
        <v>45242</v>
      </c>
      <c r="C106" s="25">
        <f>SUMIFS(td_Dados!L:L,td_Dados!K:K,"&lt;="&amp;Tabela2[[#This Row],[Date]])</f>
        <v>4</v>
      </c>
      <c r="D106" s="25">
        <f>SUMIFS(td_Dados!O:O,td_Dados!N:N,"&lt;="&amp;Tabela2[[#This Row],[Date]])</f>
        <v>0</v>
      </c>
      <c r="E106" s="23">
        <f t="shared" si="3"/>
        <v>0</v>
      </c>
    </row>
    <row r="107" spans="2:5" x14ac:dyDescent="0.3">
      <c r="B107" s="24">
        <f t="shared" si="4"/>
        <v>45243</v>
      </c>
      <c r="C107" s="25">
        <f>SUMIFS(td_Dados!L:L,td_Dados!K:K,"&lt;="&amp;Tabela2[[#This Row],[Date]])</f>
        <v>4</v>
      </c>
      <c r="D107" s="25">
        <f>SUMIFS(td_Dados!O:O,td_Dados!N:N,"&lt;="&amp;Tabela2[[#This Row],[Date]])</f>
        <v>0</v>
      </c>
      <c r="E107" s="23">
        <f t="shared" si="3"/>
        <v>0</v>
      </c>
    </row>
    <row r="108" spans="2:5" x14ac:dyDescent="0.3">
      <c r="B108" s="24">
        <f t="shared" si="4"/>
        <v>45244</v>
      </c>
      <c r="C108" s="25">
        <f>SUMIFS(td_Dados!L:L,td_Dados!K:K,"&lt;="&amp;Tabela2[[#This Row],[Date]])</f>
        <v>4</v>
      </c>
      <c r="D108" s="25">
        <f>SUMIFS(td_Dados!O:O,td_Dados!N:N,"&lt;="&amp;Tabela2[[#This Row],[Date]])</f>
        <v>0</v>
      </c>
      <c r="E108" s="23">
        <f t="shared" si="3"/>
        <v>0</v>
      </c>
    </row>
    <row r="109" spans="2:5" x14ac:dyDescent="0.3">
      <c r="B109" s="24">
        <f t="shared" si="4"/>
        <v>45245</v>
      </c>
      <c r="C109" s="25">
        <f>SUMIFS(td_Dados!L:L,td_Dados!K:K,"&lt;="&amp;Tabela2[[#This Row],[Date]])</f>
        <v>4</v>
      </c>
      <c r="D109" s="25">
        <f>SUMIFS(td_Dados!O:O,td_Dados!N:N,"&lt;="&amp;Tabela2[[#This Row],[Date]])</f>
        <v>0</v>
      </c>
      <c r="E109" s="23">
        <f t="shared" si="3"/>
        <v>0</v>
      </c>
    </row>
    <row r="110" spans="2:5" x14ac:dyDescent="0.3">
      <c r="B110" s="24">
        <f t="shared" si="4"/>
        <v>45246</v>
      </c>
      <c r="C110" s="25">
        <f>SUMIFS(td_Dados!L:L,td_Dados!K:K,"&lt;="&amp;Tabela2[[#This Row],[Date]])</f>
        <v>4</v>
      </c>
      <c r="D110" s="25">
        <f>SUMIFS(td_Dados!O:O,td_Dados!N:N,"&lt;="&amp;Tabela2[[#This Row],[Date]])</f>
        <v>0</v>
      </c>
      <c r="E110" s="23">
        <f t="shared" si="3"/>
        <v>0</v>
      </c>
    </row>
    <row r="111" spans="2:5" x14ac:dyDescent="0.3">
      <c r="B111" s="24">
        <f t="shared" si="4"/>
        <v>45247</v>
      </c>
      <c r="C111" s="25">
        <f>SUMIFS(td_Dados!L:L,td_Dados!K:K,"&lt;="&amp;Tabela2[[#This Row],[Date]])</f>
        <v>4</v>
      </c>
      <c r="D111" s="25">
        <f>SUMIFS(td_Dados!O:O,td_Dados!N:N,"&lt;="&amp;Tabela2[[#This Row],[Date]])</f>
        <v>0</v>
      </c>
      <c r="E111" s="23">
        <f t="shared" si="3"/>
        <v>0</v>
      </c>
    </row>
    <row r="112" spans="2:5" x14ac:dyDescent="0.3">
      <c r="B112" s="24">
        <f t="shared" si="4"/>
        <v>45248</v>
      </c>
      <c r="C112" s="25">
        <f>SUMIFS(td_Dados!L:L,td_Dados!K:K,"&lt;="&amp;Tabela2[[#This Row],[Date]])</f>
        <v>4</v>
      </c>
      <c r="D112" s="25">
        <f>SUMIFS(td_Dados!O:O,td_Dados!N:N,"&lt;="&amp;Tabela2[[#This Row],[Date]])</f>
        <v>0</v>
      </c>
      <c r="E112" s="23">
        <f t="shared" si="3"/>
        <v>0</v>
      </c>
    </row>
    <row r="113" spans="2:5" x14ac:dyDescent="0.3">
      <c r="B113" s="24">
        <f t="shared" si="4"/>
        <v>45249</v>
      </c>
      <c r="C113" s="25">
        <f>SUMIFS(td_Dados!L:L,td_Dados!K:K,"&lt;="&amp;Tabela2[[#This Row],[Date]])</f>
        <v>4</v>
      </c>
      <c r="D113" s="25">
        <f>SUMIFS(td_Dados!O:O,td_Dados!N:N,"&lt;="&amp;Tabela2[[#This Row],[Date]])</f>
        <v>0</v>
      </c>
      <c r="E113" s="23">
        <f t="shared" si="3"/>
        <v>0</v>
      </c>
    </row>
    <row r="114" spans="2:5" x14ac:dyDescent="0.3">
      <c r="B114" s="24">
        <f t="shared" si="4"/>
        <v>45250</v>
      </c>
      <c r="C114" s="25">
        <f>SUMIFS(td_Dados!L:L,td_Dados!K:K,"&lt;="&amp;Tabela2[[#This Row],[Date]])</f>
        <v>4</v>
      </c>
      <c r="D114" s="25">
        <f>SUMIFS(td_Dados!O:O,td_Dados!N:N,"&lt;="&amp;Tabela2[[#This Row],[Date]])</f>
        <v>0</v>
      </c>
      <c r="E114" s="23">
        <f t="shared" si="3"/>
        <v>0</v>
      </c>
    </row>
    <row r="115" spans="2:5" x14ac:dyDescent="0.3">
      <c r="B115" s="24">
        <f t="shared" si="4"/>
        <v>45251</v>
      </c>
      <c r="C115" s="25">
        <f>SUMIFS(td_Dados!L:L,td_Dados!K:K,"&lt;="&amp;Tabela2[[#This Row],[Date]])</f>
        <v>4</v>
      </c>
      <c r="D115" s="25">
        <f>SUMIFS(td_Dados!O:O,td_Dados!N:N,"&lt;="&amp;Tabela2[[#This Row],[Date]])</f>
        <v>0</v>
      </c>
      <c r="E115" s="23">
        <f t="shared" si="3"/>
        <v>0</v>
      </c>
    </row>
    <row r="116" spans="2:5" x14ac:dyDescent="0.3">
      <c r="B116" s="24">
        <f t="shared" si="4"/>
        <v>45252</v>
      </c>
      <c r="C116" s="25">
        <f>SUMIFS(td_Dados!L:L,td_Dados!K:K,"&lt;="&amp;Tabela2[[#This Row],[Date]])</f>
        <v>4</v>
      </c>
      <c r="D116" s="25">
        <f>SUMIFS(td_Dados!O:O,td_Dados!N:N,"&lt;="&amp;Tabela2[[#This Row],[Date]])</f>
        <v>0</v>
      </c>
      <c r="E116" s="23">
        <f t="shared" si="3"/>
        <v>0</v>
      </c>
    </row>
    <row r="117" spans="2:5" x14ac:dyDescent="0.3">
      <c r="B117" s="24">
        <f t="shared" si="4"/>
        <v>45253</v>
      </c>
      <c r="C117" s="25">
        <f>SUMIFS(td_Dados!L:L,td_Dados!K:K,"&lt;="&amp;Tabela2[[#This Row],[Date]])</f>
        <v>4</v>
      </c>
      <c r="D117" s="25">
        <f>SUMIFS(td_Dados!O:O,td_Dados!N:N,"&lt;="&amp;Tabela2[[#This Row],[Date]])</f>
        <v>0</v>
      </c>
      <c r="E117" s="23">
        <f t="shared" si="3"/>
        <v>0</v>
      </c>
    </row>
    <row r="118" spans="2:5" x14ac:dyDescent="0.3">
      <c r="B118" s="24">
        <f t="shared" si="4"/>
        <v>45254</v>
      </c>
      <c r="C118" s="25">
        <f>SUMIFS(td_Dados!L:L,td_Dados!K:K,"&lt;="&amp;Tabela2[[#This Row],[Date]])</f>
        <v>4</v>
      </c>
      <c r="D118" s="25">
        <f>SUMIFS(td_Dados!O:O,td_Dados!N:N,"&lt;="&amp;Tabela2[[#This Row],[Date]])</f>
        <v>0</v>
      </c>
      <c r="E118" s="23">
        <f t="shared" si="3"/>
        <v>0</v>
      </c>
    </row>
    <row r="119" spans="2:5" x14ac:dyDescent="0.3">
      <c r="B119" s="24">
        <f t="shared" si="4"/>
        <v>45255</v>
      </c>
      <c r="C119" s="25">
        <f>SUMIFS(td_Dados!L:L,td_Dados!K:K,"&lt;="&amp;Tabela2[[#This Row],[Date]])</f>
        <v>4</v>
      </c>
      <c r="D119" s="25">
        <f>SUMIFS(td_Dados!O:O,td_Dados!N:N,"&lt;="&amp;Tabela2[[#This Row],[Date]])</f>
        <v>0</v>
      </c>
      <c r="E119" s="23">
        <f t="shared" si="3"/>
        <v>0</v>
      </c>
    </row>
    <row r="120" spans="2:5" x14ac:dyDescent="0.3">
      <c r="B120" s="24">
        <f t="shared" si="4"/>
        <v>45256</v>
      </c>
      <c r="C120" s="25">
        <f>SUMIFS(td_Dados!L:L,td_Dados!K:K,"&lt;="&amp;Tabela2[[#This Row],[Date]])</f>
        <v>4</v>
      </c>
      <c r="D120" s="25">
        <f>SUMIFS(td_Dados!O:O,td_Dados!N:N,"&lt;="&amp;Tabela2[[#This Row],[Date]])</f>
        <v>0</v>
      </c>
      <c r="E120" s="23">
        <f t="shared" si="3"/>
        <v>0</v>
      </c>
    </row>
    <row r="121" spans="2:5" x14ac:dyDescent="0.3">
      <c r="B121" s="24">
        <f t="shared" si="4"/>
        <v>45257</v>
      </c>
      <c r="C121" s="25">
        <f>SUMIFS(td_Dados!L:L,td_Dados!K:K,"&lt;="&amp;Tabela2[[#This Row],[Date]])</f>
        <v>4</v>
      </c>
      <c r="D121" s="25">
        <f>SUMIFS(td_Dados!O:O,td_Dados!N:N,"&lt;="&amp;Tabela2[[#This Row],[Date]])</f>
        <v>0</v>
      </c>
      <c r="E121" s="23">
        <f t="shared" si="3"/>
        <v>0</v>
      </c>
    </row>
    <row r="122" spans="2:5" x14ac:dyDescent="0.3">
      <c r="B122" s="24">
        <f t="shared" si="4"/>
        <v>45258</v>
      </c>
      <c r="C122" s="25">
        <f>SUMIFS(td_Dados!L:L,td_Dados!K:K,"&lt;="&amp;Tabela2[[#This Row],[Date]])</f>
        <v>4</v>
      </c>
      <c r="D122" s="25">
        <f>SUMIFS(td_Dados!O:O,td_Dados!N:N,"&lt;="&amp;Tabela2[[#This Row],[Date]])</f>
        <v>0</v>
      </c>
      <c r="E122" s="23">
        <f t="shared" si="3"/>
        <v>0</v>
      </c>
    </row>
    <row r="123" spans="2:5" x14ac:dyDescent="0.3">
      <c r="B123" s="24">
        <f t="shared" si="4"/>
        <v>45259</v>
      </c>
      <c r="C123" s="25">
        <f>SUMIFS(td_Dados!L:L,td_Dados!K:K,"&lt;="&amp;Tabela2[[#This Row],[Date]])</f>
        <v>4</v>
      </c>
      <c r="D123" s="25">
        <f>SUMIFS(td_Dados!O:O,td_Dados!N:N,"&lt;="&amp;Tabela2[[#This Row],[Date]])</f>
        <v>0</v>
      </c>
      <c r="E123" s="23">
        <f t="shared" si="3"/>
        <v>0</v>
      </c>
    </row>
    <row r="124" spans="2:5" x14ac:dyDescent="0.3">
      <c r="B124" s="24">
        <f t="shared" si="4"/>
        <v>45260</v>
      </c>
      <c r="C124" s="25">
        <f>SUMIFS(td_Dados!L:L,td_Dados!K:K,"&lt;="&amp;Tabela2[[#This Row],[Date]])</f>
        <v>5</v>
      </c>
      <c r="D124" s="25">
        <f>SUMIFS(td_Dados!O:O,td_Dados!N:N,"&lt;="&amp;Tabela2[[#This Row],[Date]])</f>
        <v>0</v>
      </c>
      <c r="E124" s="23">
        <f t="shared" si="3"/>
        <v>0</v>
      </c>
    </row>
    <row r="125" spans="2:5" x14ac:dyDescent="0.3">
      <c r="B125" s="24">
        <f t="shared" si="4"/>
        <v>45261</v>
      </c>
      <c r="C125" s="25">
        <f>SUMIFS(td_Dados!L:L,td_Dados!K:K,"&lt;="&amp;Tabela2[[#This Row],[Date]])</f>
        <v>5</v>
      </c>
      <c r="D125" s="25">
        <f>SUMIFS(td_Dados!O:O,td_Dados!N:N,"&lt;="&amp;Tabela2[[#This Row],[Date]])</f>
        <v>0</v>
      </c>
      <c r="E125" s="23">
        <f t="shared" si="3"/>
        <v>0</v>
      </c>
    </row>
    <row r="126" spans="2:5" x14ac:dyDescent="0.3">
      <c r="B126" s="24">
        <f t="shared" si="4"/>
        <v>45262</v>
      </c>
      <c r="C126" s="25">
        <f>SUMIFS(td_Dados!L:L,td_Dados!K:K,"&lt;="&amp;Tabela2[[#This Row],[Date]])</f>
        <v>5</v>
      </c>
      <c r="D126" s="25">
        <f>SUMIFS(td_Dados!O:O,td_Dados!N:N,"&lt;="&amp;Tabela2[[#This Row],[Date]])</f>
        <v>0</v>
      </c>
      <c r="E126" s="23">
        <f t="shared" si="3"/>
        <v>0</v>
      </c>
    </row>
    <row r="127" spans="2:5" x14ac:dyDescent="0.3">
      <c r="B127" s="24">
        <f t="shared" si="4"/>
        <v>45263</v>
      </c>
      <c r="C127" s="25">
        <f>SUMIFS(td_Dados!L:L,td_Dados!K:K,"&lt;="&amp;Tabela2[[#This Row],[Date]])</f>
        <v>5</v>
      </c>
      <c r="D127" s="25">
        <f>SUMIFS(td_Dados!O:O,td_Dados!N:N,"&lt;="&amp;Tabela2[[#This Row],[Date]])</f>
        <v>0</v>
      </c>
      <c r="E127" s="23">
        <f t="shared" si="3"/>
        <v>0</v>
      </c>
    </row>
    <row r="128" spans="2:5" x14ac:dyDescent="0.3">
      <c r="B128" s="24">
        <f t="shared" si="4"/>
        <v>45264</v>
      </c>
      <c r="C128" s="25">
        <f>SUMIFS(td_Dados!L:L,td_Dados!K:K,"&lt;="&amp;Tabela2[[#This Row],[Date]])</f>
        <v>5</v>
      </c>
      <c r="D128" s="25">
        <f>SUMIFS(td_Dados!O:O,td_Dados!N:N,"&lt;="&amp;Tabela2[[#This Row],[Date]])</f>
        <v>0</v>
      </c>
      <c r="E128" s="23">
        <f t="shared" si="3"/>
        <v>0</v>
      </c>
    </row>
    <row r="129" spans="2:5" x14ac:dyDescent="0.3">
      <c r="B129" s="24">
        <f t="shared" si="4"/>
        <v>45265</v>
      </c>
      <c r="C129" s="25">
        <f>SUMIFS(td_Dados!L:L,td_Dados!K:K,"&lt;="&amp;Tabela2[[#This Row],[Date]])</f>
        <v>5</v>
      </c>
      <c r="D129" s="25">
        <f>SUMIFS(td_Dados!O:O,td_Dados!N:N,"&lt;="&amp;Tabela2[[#This Row],[Date]])</f>
        <v>0</v>
      </c>
      <c r="E129" s="23">
        <f t="shared" si="3"/>
        <v>0</v>
      </c>
    </row>
    <row r="130" spans="2:5" x14ac:dyDescent="0.3">
      <c r="B130" s="24">
        <f t="shared" si="4"/>
        <v>45266</v>
      </c>
      <c r="C130" s="25">
        <f>SUMIFS(td_Dados!L:L,td_Dados!K:K,"&lt;="&amp;Tabela2[[#This Row],[Date]])</f>
        <v>5</v>
      </c>
      <c r="D130" s="25">
        <f>SUMIFS(td_Dados!O:O,td_Dados!N:N,"&lt;="&amp;Tabela2[[#This Row],[Date]])</f>
        <v>0</v>
      </c>
      <c r="E130" s="23">
        <f t="shared" si="3"/>
        <v>0</v>
      </c>
    </row>
    <row r="131" spans="2:5" x14ac:dyDescent="0.3">
      <c r="B131" s="24">
        <f t="shared" si="4"/>
        <v>45267</v>
      </c>
      <c r="C131" s="25">
        <f>SUMIFS(td_Dados!L:L,td_Dados!K:K,"&lt;="&amp;Tabela2[[#This Row],[Date]])</f>
        <v>5</v>
      </c>
      <c r="D131" s="25">
        <f>SUMIFS(td_Dados!O:O,td_Dados!N:N,"&lt;="&amp;Tabela2[[#This Row],[Date]])</f>
        <v>0</v>
      </c>
      <c r="E131" s="23">
        <f t="shared" si="3"/>
        <v>0</v>
      </c>
    </row>
    <row r="132" spans="2:5" x14ac:dyDescent="0.3">
      <c r="B132" s="24">
        <f t="shared" si="4"/>
        <v>45268</v>
      </c>
      <c r="C132" s="25">
        <f>SUMIFS(td_Dados!L:L,td_Dados!K:K,"&lt;="&amp;Tabela2[[#This Row],[Date]])</f>
        <v>5</v>
      </c>
      <c r="D132" s="25">
        <f>SUMIFS(td_Dados!O:O,td_Dados!N:N,"&lt;="&amp;Tabela2[[#This Row],[Date]])</f>
        <v>0</v>
      </c>
      <c r="E132" s="23">
        <f t="shared" ref="E132:E155" si="5">IFERROR(D132/C132,0)</f>
        <v>0</v>
      </c>
    </row>
    <row r="133" spans="2:5" x14ac:dyDescent="0.3">
      <c r="B133" s="24">
        <f t="shared" ref="B133:B155" si="6">B132+1</f>
        <v>45269</v>
      </c>
      <c r="C133" s="25">
        <f>SUMIFS(td_Dados!L:L,td_Dados!K:K,"&lt;="&amp;Tabela2[[#This Row],[Date]])</f>
        <v>5</v>
      </c>
      <c r="D133" s="25">
        <f>SUMIFS(td_Dados!O:O,td_Dados!N:N,"&lt;="&amp;Tabela2[[#This Row],[Date]])</f>
        <v>0</v>
      </c>
      <c r="E133" s="23">
        <f t="shared" si="5"/>
        <v>0</v>
      </c>
    </row>
    <row r="134" spans="2:5" x14ac:dyDescent="0.3">
      <c r="B134" s="24">
        <f t="shared" si="6"/>
        <v>45270</v>
      </c>
      <c r="C134" s="25">
        <f>SUMIFS(td_Dados!L:L,td_Dados!K:K,"&lt;="&amp;Tabela2[[#This Row],[Date]])</f>
        <v>5</v>
      </c>
      <c r="D134" s="25">
        <f>SUMIFS(td_Dados!O:O,td_Dados!N:N,"&lt;="&amp;Tabela2[[#This Row],[Date]])</f>
        <v>0</v>
      </c>
      <c r="E134" s="23">
        <f t="shared" si="5"/>
        <v>0</v>
      </c>
    </row>
    <row r="135" spans="2:5" x14ac:dyDescent="0.3">
      <c r="B135" s="24">
        <f t="shared" si="6"/>
        <v>45271</v>
      </c>
      <c r="C135" s="25">
        <f>SUMIFS(td_Dados!L:L,td_Dados!K:K,"&lt;="&amp;Tabela2[[#This Row],[Date]])</f>
        <v>5</v>
      </c>
      <c r="D135" s="25">
        <f>SUMIFS(td_Dados!O:O,td_Dados!N:N,"&lt;="&amp;Tabela2[[#This Row],[Date]])</f>
        <v>0</v>
      </c>
      <c r="E135" s="23">
        <f t="shared" si="5"/>
        <v>0</v>
      </c>
    </row>
    <row r="136" spans="2:5" x14ac:dyDescent="0.3">
      <c r="B136" s="24">
        <f t="shared" si="6"/>
        <v>45272</v>
      </c>
      <c r="C136" s="25">
        <f>SUMIFS(td_Dados!L:L,td_Dados!K:K,"&lt;="&amp;Tabela2[[#This Row],[Date]])</f>
        <v>5</v>
      </c>
      <c r="D136" s="25">
        <f>SUMIFS(td_Dados!O:O,td_Dados!N:N,"&lt;="&amp;Tabela2[[#This Row],[Date]])</f>
        <v>0</v>
      </c>
      <c r="E136" s="23">
        <f t="shared" si="5"/>
        <v>0</v>
      </c>
    </row>
    <row r="137" spans="2:5" x14ac:dyDescent="0.3">
      <c r="B137" s="24">
        <f t="shared" si="6"/>
        <v>45273</v>
      </c>
      <c r="C137" s="25">
        <f>SUMIFS(td_Dados!L:L,td_Dados!K:K,"&lt;="&amp;Tabela2[[#This Row],[Date]])</f>
        <v>5</v>
      </c>
      <c r="D137" s="25">
        <f>SUMIFS(td_Dados!O:O,td_Dados!N:N,"&lt;="&amp;Tabela2[[#This Row],[Date]])</f>
        <v>0</v>
      </c>
      <c r="E137" s="23">
        <f t="shared" si="5"/>
        <v>0</v>
      </c>
    </row>
    <row r="138" spans="2:5" x14ac:dyDescent="0.3">
      <c r="B138" s="24">
        <f t="shared" si="6"/>
        <v>45274</v>
      </c>
      <c r="C138" s="25">
        <f>SUMIFS(td_Dados!L:L,td_Dados!K:K,"&lt;="&amp;Tabela2[[#This Row],[Date]])</f>
        <v>5</v>
      </c>
      <c r="D138" s="25">
        <f>SUMIFS(td_Dados!O:O,td_Dados!N:N,"&lt;="&amp;Tabela2[[#This Row],[Date]])</f>
        <v>0</v>
      </c>
      <c r="E138" s="23">
        <f t="shared" si="5"/>
        <v>0</v>
      </c>
    </row>
    <row r="139" spans="2:5" x14ac:dyDescent="0.3">
      <c r="B139" s="24">
        <f t="shared" si="6"/>
        <v>45275</v>
      </c>
      <c r="C139" s="25">
        <f>SUMIFS(td_Dados!L:L,td_Dados!K:K,"&lt;="&amp;Tabela2[[#This Row],[Date]])</f>
        <v>5</v>
      </c>
      <c r="D139" s="25">
        <f>SUMIFS(td_Dados!O:O,td_Dados!N:N,"&lt;="&amp;Tabela2[[#This Row],[Date]])</f>
        <v>0</v>
      </c>
      <c r="E139" s="23">
        <f t="shared" si="5"/>
        <v>0</v>
      </c>
    </row>
    <row r="140" spans="2:5" x14ac:dyDescent="0.3">
      <c r="B140" s="24">
        <f t="shared" si="6"/>
        <v>45276</v>
      </c>
      <c r="C140" s="25">
        <f>SUMIFS(td_Dados!L:L,td_Dados!K:K,"&lt;="&amp;Tabela2[[#This Row],[Date]])</f>
        <v>5</v>
      </c>
      <c r="D140" s="25">
        <f>SUMIFS(td_Dados!O:O,td_Dados!N:N,"&lt;="&amp;Tabela2[[#This Row],[Date]])</f>
        <v>0</v>
      </c>
      <c r="E140" s="23">
        <f t="shared" si="5"/>
        <v>0</v>
      </c>
    </row>
    <row r="141" spans="2:5" x14ac:dyDescent="0.3">
      <c r="B141" s="24">
        <f t="shared" si="6"/>
        <v>45277</v>
      </c>
      <c r="C141" s="25">
        <f>SUMIFS(td_Dados!L:L,td_Dados!K:K,"&lt;="&amp;Tabela2[[#This Row],[Date]])</f>
        <v>5</v>
      </c>
      <c r="D141" s="25">
        <f>SUMIFS(td_Dados!O:O,td_Dados!N:N,"&lt;="&amp;Tabela2[[#This Row],[Date]])</f>
        <v>0</v>
      </c>
      <c r="E141" s="23">
        <f t="shared" si="5"/>
        <v>0</v>
      </c>
    </row>
    <row r="142" spans="2:5" x14ac:dyDescent="0.3">
      <c r="B142" s="24">
        <f t="shared" si="6"/>
        <v>45278</v>
      </c>
      <c r="C142" s="25">
        <f>SUMIFS(td_Dados!L:L,td_Dados!K:K,"&lt;="&amp;Tabela2[[#This Row],[Date]])</f>
        <v>5</v>
      </c>
      <c r="D142" s="25">
        <f>SUMIFS(td_Dados!O:O,td_Dados!N:N,"&lt;="&amp;Tabela2[[#This Row],[Date]])</f>
        <v>0</v>
      </c>
      <c r="E142" s="23">
        <f t="shared" si="5"/>
        <v>0</v>
      </c>
    </row>
    <row r="143" spans="2:5" x14ac:dyDescent="0.3">
      <c r="B143" s="24">
        <f t="shared" si="6"/>
        <v>45279</v>
      </c>
      <c r="C143" s="25">
        <f>SUMIFS(td_Dados!L:L,td_Dados!K:K,"&lt;="&amp;Tabela2[[#This Row],[Date]])</f>
        <v>5</v>
      </c>
      <c r="D143" s="25">
        <f>SUMIFS(td_Dados!O:O,td_Dados!N:N,"&lt;="&amp;Tabela2[[#This Row],[Date]])</f>
        <v>0</v>
      </c>
      <c r="E143" s="23">
        <f t="shared" si="5"/>
        <v>0</v>
      </c>
    </row>
    <row r="144" spans="2:5" x14ac:dyDescent="0.3">
      <c r="B144" s="24">
        <f t="shared" si="6"/>
        <v>45280</v>
      </c>
      <c r="C144" s="25">
        <f>SUMIFS(td_Dados!L:L,td_Dados!K:K,"&lt;="&amp;Tabela2[[#This Row],[Date]])</f>
        <v>5</v>
      </c>
      <c r="D144" s="25">
        <f>SUMIFS(td_Dados!O:O,td_Dados!N:N,"&lt;="&amp;Tabela2[[#This Row],[Date]])</f>
        <v>0</v>
      </c>
      <c r="E144" s="23">
        <f t="shared" si="5"/>
        <v>0</v>
      </c>
    </row>
    <row r="145" spans="2:5" x14ac:dyDescent="0.3">
      <c r="B145" s="24">
        <f t="shared" si="6"/>
        <v>45281</v>
      </c>
      <c r="C145" s="25">
        <f>SUMIFS(td_Dados!L:L,td_Dados!K:K,"&lt;="&amp;Tabela2[[#This Row],[Date]])</f>
        <v>5</v>
      </c>
      <c r="D145" s="25">
        <f>SUMIFS(td_Dados!O:O,td_Dados!N:N,"&lt;="&amp;Tabela2[[#This Row],[Date]])</f>
        <v>0</v>
      </c>
      <c r="E145" s="23">
        <f t="shared" si="5"/>
        <v>0</v>
      </c>
    </row>
    <row r="146" spans="2:5" x14ac:dyDescent="0.3">
      <c r="B146" s="24">
        <f t="shared" si="6"/>
        <v>45282</v>
      </c>
      <c r="C146" s="25">
        <f>SUMIFS(td_Dados!L:L,td_Dados!K:K,"&lt;="&amp;Tabela2[[#This Row],[Date]])</f>
        <v>5</v>
      </c>
      <c r="D146" s="25">
        <f>SUMIFS(td_Dados!O:O,td_Dados!N:N,"&lt;="&amp;Tabela2[[#This Row],[Date]])</f>
        <v>0</v>
      </c>
      <c r="E146" s="23">
        <f t="shared" si="5"/>
        <v>0</v>
      </c>
    </row>
    <row r="147" spans="2:5" x14ac:dyDescent="0.3">
      <c r="B147" s="24">
        <f t="shared" si="6"/>
        <v>45283</v>
      </c>
      <c r="C147" s="25">
        <f>SUMIFS(td_Dados!L:L,td_Dados!K:K,"&lt;="&amp;Tabela2[[#This Row],[Date]])</f>
        <v>5</v>
      </c>
      <c r="D147" s="25">
        <f>SUMIFS(td_Dados!O:O,td_Dados!N:N,"&lt;="&amp;Tabela2[[#This Row],[Date]])</f>
        <v>0</v>
      </c>
      <c r="E147" s="23">
        <f t="shared" si="5"/>
        <v>0</v>
      </c>
    </row>
    <row r="148" spans="2:5" x14ac:dyDescent="0.3">
      <c r="B148" s="24">
        <f t="shared" si="6"/>
        <v>45284</v>
      </c>
      <c r="C148" s="25">
        <f>SUMIFS(td_Dados!L:L,td_Dados!K:K,"&lt;="&amp;Tabela2[[#This Row],[Date]])</f>
        <v>5</v>
      </c>
      <c r="D148" s="25">
        <f>SUMIFS(td_Dados!O:O,td_Dados!N:N,"&lt;="&amp;Tabela2[[#This Row],[Date]])</f>
        <v>0</v>
      </c>
      <c r="E148" s="23">
        <f t="shared" si="5"/>
        <v>0</v>
      </c>
    </row>
    <row r="149" spans="2:5" x14ac:dyDescent="0.3">
      <c r="B149" s="24">
        <f t="shared" si="6"/>
        <v>45285</v>
      </c>
      <c r="C149" s="25">
        <f>SUMIFS(td_Dados!L:L,td_Dados!K:K,"&lt;="&amp;Tabela2[[#This Row],[Date]])</f>
        <v>5</v>
      </c>
      <c r="D149" s="25">
        <f>SUMIFS(td_Dados!O:O,td_Dados!N:N,"&lt;="&amp;Tabela2[[#This Row],[Date]])</f>
        <v>0</v>
      </c>
      <c r="E149" s="23">
        <f t="shared" si="5"/>
        <v>0</v>
      </c>
    </row>
    <row r="150" spans="2:5" x14ac:dyDescent="0.3">
      <c r="B150" s="24">
        <f t="shared" si="6"/>
        <v>45286</v>
      </c>
      <c r="C150" s="25">
        <f>SUMIFS(td_Dados!L:L,td_Dados!K:K,"&lt;="&amp;Tabela2[[#This Row],[Date]])</f>
        <v>5</v>
      </c>
      <c r="D150" s="25">
        <f>SUMIFS(td_Dados!O:O,td_Dados!N:N,"&lt;="&amp;Tabela2[[#This Row],[Date]])</f>
        <v>0</v>
      </c>
      <c r="E150" s="23">
        <f t="shared" si="5"/>
        <v>0</v>
      </c>
    </row>
    <row r="151" spans="2:5" x14ac:dyDescent="0.3">
      <c r="B151" s="24">
        <f t="shared" si="6"/>
        <v>45287</v>
      </c>
      <c r="C151" s="25">
        <f>SUMIFS(td_Dados!L:L,td_Dados!K:K,"&lt;="&amp;Tabela2[[#This Row],[Date]])</f>
        <v>5</v>
      </c>
      <c r="D151" s="25">
        <f>SUMIFS(td_Dados!O:O,td_Dados!N:N,"&lt;="&amp;Tabela2[[#This Row],[Date]])</f>
        <v>0</v>
      </c>
      <c r="E151" s="23">
        <f t="shared" si="5"/>
        <v>0</v>
      </c>
    </row>
    <row r="152" spans="2:5" x14ac:dyDescent="0.3">
      <c r="B152" s="24">
        <f t="shared" si="6"/>
        <v>45288</v>
      </c>
      <c r="C152" s="25">
        <f>SUMIFS(td_Dados!L:L,td_Dados!K:K,"&lt;="&amp;Tabela2[[#This Row],[Date]])</f>
        <v>5</v>
      </c>
      <c r="D152" s="25">
        <f>SUMIFS(td_Dados!O:O,td_Dados!N:N,"&lt;="&amp;Tabela2[[#This Row],[Date]])</f>
        <v>0</v>
      </c>
      <c r="E152" s="23">
        <f t="shared" si="5"/>
        <v>0</v>
      </c>
    </row>
    <row r="153" spans="2:5" x14ac:dyDescent="0.3">
      <c r="B153" s="24">
        <f t="shared" si="6"/>
        <v>45289</v>
      </c>
      <c r="C153" s="25">
        <f>SUMIFS(td_Dados!L:L,td_Dados!K:K,"&lt;="&amp;Tabela2[[#This Row],[Date]])</f>
        <v>5</v>
      </c>
      <c r="D153" s="25">
        <f>SUMIFS(td_Dados!O:O,td_Dados!N:N,"&lt;="&amp;Tabela2[[#This Row],[Date]])</f>
        <v>0</v>
      </c>
      <c r="E153" s="23">
        <f t="shared" si="5"/>
        <v>0</v>
      </c>
    </row>
    <row r="154" spans="2:5" x14ac:dyDescent="0.3">
      <c r="B154" s="24">
        <f t="shared" si="6"/>
        <v>45290</v>
      </c>
      <c r="C154" s="25">
        <f>SUMIFS(td_Dados!L:L,td_Dados!K:K,"&lt;="&amp;Tabela2[[#This Row],[Date]])</f>
        <v>13</v>
      </c>
      <c r="D154" s="25">
        <f>SUMIFS(td_Dados!O:O,td_Dados!N:N,"&lt;="&amp;Tabela2[[#This Row],[Date]])</f>
        <v>0</v>
      </c>
      <c r="E154" s="23">
        <f t="shared" si="5"/>
        <v>0</v>
      </c>
    </row>
    <row r="155" spans="2:5" x14ac:dyDescent="0.3">
      <c r="B155" s="24">
        <f t="shared" si="6"/>
        <v>45291</v>
      </c>
      <c r="C155" s="25">
        <f>SUMIFS(td_Dados!L:L,td_Dados!K:K,"&lt;="&amp;Tabela2[[#This Row],[Date]])</f>
        <v>17</v>
      </c>
      <c r="D155" s="25">
        <f>SUMIFS(td_Dados!O:O,td_Dados!N:N,"&lt;="&amp;Tabela2[[#This Row],[Date]])</f>
        <v>0</v>
      </c>
      <c r="E155" s="23">
        <f t="shared" si="5"/>
        <v>0</v>
      </c>
    </row>
    <row r="156" spans="2:5" x14ac:dyDescent="0.3">
      <c r="B156" s="26"/>
      <c r="C156" s="27"/>
      <c r="D156" s="27"/>
    </row>
    <row r="157" spans="2:5" x14ac:dyDescent="0.3">
      <c r="B157" s="26"/>
    </row>
    <row r="158" spans="2:5" x14ac:dyDescent="0.3">
      <c r="B158" s="26"/>
    </row>
    <row r="159" spans="2:5" x14ac:dyDescent="0.3">
      <c r="B159" s="26"/>
    </row>
    <row r="160" spans="2:5" x14ac:dyDescent="0.3">
      <c r="B160" s="26"/>
    </row>
    <row r="161" spans="2:2" x14ac:dyDescent="0.3">
      <c r="B161" s="26"/>
    </row>
    <row r="162" spans="2:2" x14ac:dyDescent="0.3">
      <c r="B162" s="26"/>
    </row>
    <row r="163" spans="2:2" x14ac:dyDescent="0.3">
      <c r="B163" s="26"/>
    </row>
    <row r="164" spans="2:2" x14ac:dyDescent="0.3">
      <c r="B164" s="26"/>
    </row>
    <row r="165" spans="2:2" x14ac:dyDescent="0.3">
      <c r="B165" s="26"/>
    </row>
    <row r="166" spans="2:2" x14ac:dyDescent="0.3">
      <c r="B166" s="26"/>
    </row>
    <row r="167" spans="2:2" x14ac:dyDescent="0.3">
      <c r="B167" s="26"/>
    </row>
    <row r="168" spans="2:2" x14ac:dyDescent="0.3">
      <c r="B168" s="26"/>
    </row>
    <row r="169" spans="2:2" x14ac:dyDescent="0.3">
      <c r="B169" s="26"/>
    </row>
    <row r="170" spans="2:2" x14ac:dyDescent="0.3">
      <c r="B170" s="26"/>
    </row>
    <row r="171" spans="2:2" x14ac:dyDescent="0.3">
      <c r="B171" s="26"/>
    </row>
    <row r="172" spans="2:2" x14ac:dyDescent="0.3">
      <c r="B172" s="26"/>
    </row>
    <row r="173" spans="2:2" x14ac:dyDescent="0.3">
      <c r="B173" s="26"/>
    </row>
    <row r="174" spans="2:2" x14ac:dyDescent="0.3">
      <c r="B174" s="26"/>
    </row>
    <row r="175" spans="2:2" x14ac:dyDescent="0.3">
      <c r="B175" s="26"/>
    </row>
    <row r="176" spans="2:2" x14ac:dyDescent="0.3">
      <c r="B176" s="26"/>
    </row>
    <row r="177" spans="2:2" x14ac:dyDescent="0.3">
      <c r="B177" s="26"/>
    </row>
    <row r="178" spans="2:2" x14ac:dyDescent="0.3">
      <c r="B178" s="26"/>
    </row>
    <row r="179" spans="2:2" x14ac:dyDescent="0.3">
      <c r="B179" s="26"/>
    </row>
    <row r="180" spans="2:2" x14ac:dyDescent="0.3">
      <c r="B180" s="26"/>
    </row>
    <row r="181" spans="2:2" x14ac:dyDescent="0.3">
      <c r="B181" s="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4D9E2-5D19-4C38-BC0E-C2F38784BB5F}">
  <dimension ref="B2:F19"/>
  <sheetViews>
    <sheetView showGridLines="0" topLeftCell="D1" workbookViewId="0">
      <selection activeCell="F32" sqref="F32"/>
    </sheetView>
  </sheetViews>
  <sheetFormatPr defaultRowHeight="13.8" x14ac:dyDescent="0.3"/>
  <cols>
    <col min="1" max="1" width="3.5546875" style="1" customWidth="1"/>
    <col min="2" max="2" width="1.77734375" style="1" customWidth="1"/>
    <col min="3" max="3" width="78.109375" style="1" bestFit="1" customWidth="1"/>
    <col min="4" max="4" width="1.77734375" style="1" customWidth="1"/>
    <col min="5" max="5" width="10.21875" style="1" bestFit="1" customWidth="1"/>
    <col min="6" max="6" width="137.44140625" style="1" bestFit="1" customWidth="1"/>
    <col min="7" max="16384" width="8.88671875" style="1"/>
  </cols>
  <sheetData>
    <row r="2" spans="2:6" ht="14.4" x14ac:dyDescent="0.3">
      <c r="B2" s="14"/>
      <c r="C2" s="13" t="s">
        <v>0</v>
      </c>
      <c r="E2" s="61" t="s">
        <v>4</v>
      </c>
      <c r="F2" s="62"/>
    </row>
    <row r="3" spans="2:6" ht="4.95" customHeight="1" x14ac:dyDescent="0.3">
      <c r="B3" s="14"/>
      <c r="C3" s="13"/>
      <c r="E3" s="28"/>
      <c r="F3" s="28"/>
    </row>
    <row r="4" spans="2:6" ht="15" customHeight="1" x14ac:dyDescent="0.3">
      <c r="B4" s="15">
        <v>1</v>
      </c>
      <c r="C4" s="12" t="s">
        <v>48</v>
      </c>
      <c r="E4" s="16" t="s">
        <v>9</v>
      </c>
      <c r="F4" s="17" t="s">
        <v>8</v>
      </c>
    </row>
    <row r="5" spans="2:6" ht="15" customHeight="1" x14ac:dyDescent="0.3">
      <c r="B5" s="15">
        <v>2</v>
      </c>
      <c r="C5" s="12" t="s">
        <v>50</v>
      </c>
      <c r="E5" s="16" t="s">
        <v>18</v>
      </c>
      <c r="F5" s="17" t="s">
        <v>17</v>
      </c>
    </row>
    <row r="6" spans="2:6" ht="15" customHeight="1" x14ac:dyDescent="0.3">
      <c r="B6" s="15">
        <v>3</v>
      </c>
      <c r="C6" s="12" t="s">
        <v>51</v>
      </c>
      <c r="E6" s="16" t="s">
        <v>20</v>
      </c>
      <c r="F6" s="17" t="s">
        <v>19</v>
      </c>
    </row>
    <row r="7" spans="2:6" ht="15" customHeight="1" x14ac:dyDescent="0.3">
      <c r="B7" s="15">
        <v>4</v>
      </c>
      <c r="C7" s="12" t="s">
        <v>1</v>
      </c>
      <c r="E7" s="16" t="s">
        <v>22</v>
      </c>
      <c r="F7" s="17" t="s">
        <v>23</v>
      </c>
    </row>
    <row r="8" spans="2:6" ht="15" customHeight="1" x14ac:dyDescent="0.3">
      <c r="B8" s="15">
        <v>5</v>
      </c>
      <c r="C8" s="12" t="s">
        <v>52</v>
      </c>
      <c r="E8" s="16" t="s">
        <v>24</v>
      </c>
      <c r="F8" s="17" t="s">
        <v>25</v>
      </c>
    </row>
    <row r="9" spans="2:6" ht="15" customHeight="1" x14ac:dyDescent="0.3">
      <c r="B9" s="15">
        <v>6</v>
      </c>
      <c r="C9" s="12" t="s">
        <v>53</v>
      </c>
      <c r="E9" s="16" t="s">
        <v>26</v>
      </c>
      <c r="F9" s="17" t="s">
        <v>28</v>
      </c>
    </row>
    <row r="10" spans="2:6" ht="15" customHeight="1" x14ac:dyDescent="0.3">
      <c r="B10" s="15">
        <v>7</v>
      </c>
      <c r="C10" s="12" t="s">
        <v>2</v>
      </c>
      <c r="E10" s="16" t="s">
        <v>29</v>
      </c>
      <c r="F10" s="17" t="s">
        <v>31</v>
      </c>
    </row>
    <row r="11" spans="2:6" ht="15" customHeight="1" x14ac:dyDescent="0.3">
      <c r="B11" s="15">
        <v>8</v>
      </c>
      <c r="C11" s="12" t="s">
        <v>3</v>
      </c>
      <c r="E11" s="16" t="s">
        <v>49</v>
      </c>
      <c r="F11" s="17" t="s">
        <v>33</v>
      </c>
    </row>
    <row r="12" spans="2:6" ht="15" customHeight="1" x14ac:dyDescent="0.3">
      <c r="E12" s="16" t="s">
        <v>34</v>
      </c>
      <c r="F12" s="17" t="s">
        <v>36</v>
      </c>
    </row>
    <row r="13" spans="2:6" ht="15" customHeight="1" x14ac:dyDescent="0.3">
      <c r="E13" s="16" t="s">
        <v>37</v>
      </c>
      <c r="F13" s="17" t="s">
        <v>39</v>
      </c>
    </row>
    <row r="14" spans="2:6" ht="15" customHeight="1" x14ac:dyDescent="0.3">
      <c r="E14" s="16" t="s">
        <v>40</v>
      </c>
      <c r="F14" s="17" t="s">
        <v>44</v>
      </c>
    </row>
    <row r="15" spans="2:6" ht="15" customHeight="1" x14ac:dyDescent="0.3">
      <c r="E15" s="16" t="s">
        <v>47</v>
      </c>
      <c r="F15" s="17" t="s">
        <v>46</v>
      </c>
    </row>
    <row r="16" spans="2:6" ht="4.95" customHeight="1" thickBot="1" x14ac:dyDescent="0.35">
      <c r="E16" s="29"/>
      <c r="F16" s="30"/>
    </row>
    <row r="17" ht="15" customHeight="1" x14ac:dyDescent="0.3"/>
    <row r="18" ht="15" customHeight="1" x14ac:dyDescent="0.3"/>
    <row r="19" ht="15" customHeight="1" x14ac:dyDescent="0.3"/>
  </sheetData>
  <mergeCells count="1">
    <mergeCell ref="E2:F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BEB7E-0F6E-4DBD-BFC9-7384DDB3DF16}">
  <dimension ref="A2:Q26"/>
  <sheetViews>
    <sheetView showGridLines="0" workbookViewId="0">
      <selection activeCell="B7" sqref="B7"/>
    </sheetView>
  </sheetViews>
  <sheetFormatPr defaultColWidth="0" defaultRowHeight="13.8" x14ac:dyDescent="0.3"/>
  <cols>
    <col min="1" max="1" width="1.77734375" style="1" customWidth="1"/>
    <col min="2" max="2" width="16.33203125" style="39" bestFit="1" customWidth="1"/>
    <col min="3" max="3" width="16.5546875" style="36" bestFit="1" customWidth="1"/>
    <col min="4" max="4" width="1.33203125" style="40" customWidth="1"/>
    <col min="5" max="5" width="16.33203125" style="34" bestFit="1" customWidth="1"/>
    <col min="6" max="6" width="16.5546875" style="31" bestFit="1" customWidth="1"/>
    <col min="7" max="7" width="1.33203125" style="40" customWidth="1"/>
    <col min="8" max="8" width="14.44140625" style="39" bestFit="1" customWidth="1"/>
    <col min="9" max="9" width="16.5546875" style="31" bestFit="1" customWidth="1"/>
    <col min="10" max="10" width="1.33203125" style="40" customWidth="1"/>
    <col min="11" max="11" width="16.33203125" style="39" bestFit="1" customWidth="1"/>
    <col min="12" max="12" width="16.5546875" style="31" bestFit="1" customWidth="1"/>
    <col min="13" max="13" width="1.33203125" style="40" customWidth="1"/>
    <col min="14" max="14" width="16.33203125" style="39" bestFit="1" customWidth="1"/>
    <col min="15" max="15" width="16.5546875" style="31" bestFit="1" customWidth="1"/>
    <col min="16" max="16" width="1.33203125" style="40" customWidth="1"/>
    <col min="17" max="17" width="8.88671875" style="1" customWidth="1"/>
    <col min="18" max="16384" width="8.88671875" style="1" hidden="1"/>
  </cols>
  <sheetData>
    <row r="2" spans="2:16" ht="15.6" x14ac:dyDescent="0.3">
      <c r="B2" s="42" t="s">
        <v>97</v>
      </c>
      <c r="C2" s="43"/>
      <c r="D2" s="44"/>
      <c r="E2" s="45" t="s">
        <v>98</v>
      </c>
      <c r="F2" s="46"/>
      <c r="G2" s="44"/>
      <c r="H2" s="42" t="s">
        <v>99</v>
      </c>
      <c r="I2" s="46"/>
      <c r="J2" s="44"/>
      <c r="K2" s="42" t="s">
        <v>100</v>
      </c>
      <c r="L2" s="46"/>
      <c r="M2" s="44"/>
      <c r="N2" s="42" t="s">
        <v>100</v>
      </c>
      <c r="P2" s="41"/>
    </row>
    <row r="4" spans="2:16" x14ac:dyDescent="0.3">
      <c r="B4" s="48" t="s">
        <v>94</v>
      </c>
      <c r="C4" s="50" t="s">
        <v>95</v>
      </c>
      <c r="E4" s="52" t="s">
        <v>94</v>
      </c>
      <c r="F4" s="54" t="s">
        <v>95</v>
      </c>
      <c r="H4" s="56" t="s">
        <v>6</v>
      </c>
      <c r="I4" s="57" t="s">
        <v>95</v>
      </c>
      <c r="K4" s="56" t="s">
        <v>94</v>
      </c>
      <c r="L4" s="57" t="s">
        <v>95</v>
      </c>
      <c r="N4" s="35" t="s">
        <v>7</v>
      </c>
      <c r="O4" s="31" t="s">
        <v>106</v>
      </c>
    </row>
    <row r="5" spans="2:16" x14ac:dyDescent="0.3">
      <c r="B5" s="49" t="s">
        <v>40</v>
      </c>
      <c r="C5" s="47">
        <v>3</v>
      </c>
      <c r="E5" s="53" t="s">
        <v>96</v>
      </c>
      <c r="F5" s="51">
        <v>1</v>
      </c>
      <c r="H5" s="57" t="s">
        <v>16</v>
      </c>
      <c r="I5" s="55">
        <v>4</v>
      </c>
      <c r="K5" s="58">
        <v>45184</v>
      </c>
      <c r="L5" s="55">
        <v>2</v>
      </c>
    </row>
    <row r="6" spans="2:16" x14ac:dyDescent="0.3">
      <c r="B6" s="49" t="s">
        <v>9</v>
      </c>
      <c r="C6" s="47">
        <v>3</v>
      </c>
      <c r="E6"/>
      <c r="F6"/>
      <c r="H6" s="57" t="s">
        <v>27</v>
      </c>
      <c r="I6" s="55">
        <v>3</v>
      </c>
      <c r="K6" s="58">
        <v>45199</v>
      </c>
      <c r="L6" s="55">
        <v>1</v>
      </c>
      <c r="N6" s="35" t="s">
        <v>94</v>
      </c>
      <c r="O6" s="57" t="s">
        <v>95</v>
      </c>
    </row>
    <row r="7" spans="2:16" x14ac:dyDescent="0.3">
      <c r="B7" s="49" t="s">
        <v>26</v>
      </c>
      <c r="C7" s="47">
        <v>2</v>
      </c>
      <c r="E7" s="32"/>
      <c r="F7" s="33"/>
      <c r="H7" s="57" t="s">
        <v>11</v>
      </c>
      <c r="I7" s="55">
        <v>2</v>
      </c>
      <c r="K7" s="58">
        <v>45229</v>
      </c>
      <c r="L7" s="55">
        <v>1</v>
      </c>
      <c r="N7"/>
      <c r="O7"/>
    </row>
    <row r="8" spans="2:16" x14ac:dyDescent="0.3">
      <c r="B8" s="49" t="s">
        <v>37</v>
      </c>
      <c r="C8" s="47">
        <v>1</v>
      </c>
      <c r="E8" s="32"/>
      <c r="F8" s="33"/>
      <c r="H8" s="57" t="s">
        <v>45</v>
      </c>
      <c r="I8" s="55">
        <v>2</v>
      </c>
      <c r="K8" s="58">
        <v>45260</v>
      </c>
      <c r="L8" s="55">
        <v>1</v>
      </c>
      <c r="N8" s="37"/>
      <c r="O8" s="33"/>
    </row>
    <row r="9" spans="2:16" x14ac:dyDescent="0.3">
      <c r="B9" s="49" t="s">
        <v>29</v>
      </c>
      <c r="C9" s="47">
        <v>1</v>
      </c>
      <c r="H9" s="57" t="s">
        <v>35</v>
      </c>
      <c r="I9" s="55">
        <v>2</v>
      </c>
      <c r="K9" s="58">
        <v>45290</v>
      </c>
      <c r="L9" s="55">
        <v>8</v>
      </c>
      <c r="N9" s="37"/>
      <c r="O9" s="33"/>
    </row>
    <row r="10" spans="2:16" x14ac:dyDescent="0.3">
      <c r="B10" s="49" t="s">
        <v>47</v>
      </c>
      <c r="C10" s="47">
        <v>1</v>
      </c>
      <c r="H10" s="57" t="s">
        <v>14</v>
      </c>
      <c r="I10" s="55">
        <v>2</v>
      </c>
      <c r="K10" s="58">
        <v>45291</v>
      </c>
      <c r="L10" s="55">
        <v>4</v>
      </c>
      <c r="N10" s="37"/>
      <c r="O10" s="33"/>
    </row>
    <row r="11" spans="2:16" x14ac:dyDescent="0.3">
      <c r="B11" s="49" t="s">
        <v>24</v>
      </c>
      <c r="C11" s="47">
        <v>1</v>
      </c>
      <c r="H11" s="57" t="s">
        <v>30</v>
      </c>
      <c r="I11" s="55">
        <v>1</v>
      </c>
      <c r="K11" s="37"/>
      <c r="L11" s="33"/>
      <c r="N11" s="37"/>
      <c r="O11" s="33"/>
    </row>
    <row r="12" spans="2:16" x14ac:dyDescent="0.3">
      <c r="B12" s="49" t="s">
        <v>18</v>
      </c>
      <c r="C12" s="47">
        <v>1</v>
      </c>
      <c r="H12" s="57" t="s">
        <v>43</v>
      </c>
      <c r="I12" s="55">
        <v>1</v>
      </c>
      <c r="K12" s="37"/>
      <c r="L12" s="33"/>
      <c r="N12" s="37"/>
      <c r="O12" s="33"/>
    </row>
    <row r="13" spans="2:16" x14ac:dyDescent="0.3">
      <c r="B13" s="49" t="s">
        <v>34</v>
      </c>
      <c r="C13" s="47">
        <v>1</v>
      </c>
      <c r="H13" s="37"/>
      <c r="I13" s="33"/>
      <c r="K13" s="37"/>
      <c r="L13" s="33"/>
      <c r="N13" s="37"/>
      <c r="O13" s="33"/>
    </row>
    <row r="14" spans="2:16" x14ac:dyDescent="0.3">
      <c r="B14" s="49" t="s">
        <v>49</v>
      </c>
      <c r="C14" s="47">
        <v>1</v>
      </c>
      <c r="K14" s="37"/>
      <c r="L14" s="33"/>
      <c r="N14" s="37"/>
      <c r="O14" s="33"/>
    </row>
    <row r="15" spans="2:16" x14ac:dyDescent="0.3">
      <c r="B15" s="49" t="s">
        <v>22</v>
      </c>
      <c r="C15" s="47">
        <v>1</v>
      </c>
      <c r="K15" s="37"/>
      <c r="L15" s="33"/>
      <c r="N15" s="37"/>
      <c r="O15" s="33"/>
    </row>
    <row r="16" spans="2:16" x14ac:dyDescent="0.3">
      <c r="B16" s="49" t="s">
        <v>20</v>
      </c>
      <c r="C16" s="47">
        <v>1</v>
      </c>
      <c r="K16" s="37"/>
      <c r="L16" s="33"/>
    </row>
    <row r="17" spans="2:12" x14ac:dyDescent="0.3">
      <c r="B17" s="37"/>
      <c r="C17" s="38"/>
      <c r="K17" s="37"/>
      <c r="L17" s="33"/>
    </row>
    <row r="18" spans="2:12" x14ac:dyDescent="0.3">
      <c r="K18" s="37"/>
      <c r="L18" s="33"/>
    </row>
    <row r="19" spans="2:12" x14ac:dyDescent="0.3">
      <c r="K19" s="37"/>
      <c r="L19" s="33"/>
    </row>
    <row r="20" spans="2:12" x14ac:dyDescent="0.3">
      <c r="K20" s="37"/>
      <c r="L20" s="33"/>
    </row>
    <row r="21" spans="2:12" x14ac:dyDescent="0.3">
      <c r="K21" s="37"/>
      <c r="L21" s="33"/>
    </row>
    <row r="22" spans="2:12" x14ac:dyDescent="0.3">
      <c r="K22" s="37"/>
      <c r="L22" s="33"/>
    </row>
    <row r="23" spans="2:12" x14ac:dyDescent="0.3">
      <c r="K23" s="37"/>
      <c r="L23" s="33"/>
    </row>
    <row r="24" spans="2:12" x14ac:dyDescent="0.3">
      <c r="K24" s="37"/>
      <c r="L24" s="33"/>
    </row>
    <row r="25" spans="2:12" x14ac:dyDescent="0.3">
      <c r="K25" s="37"/>
      <c r="L25" s="33"/>
    </row>
    <row r="26" spans="2:12" x14ac:dyDescent="0.3">
      <c r="K26" s="37"/>
      <c r="L26" s="3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94612-FC50-4124-917A-323D7145F90A}">
  <sheetPr>
    <tabColor theme="4"/>
  </sheetPr>
  <dimension ref="A1:V1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3.8" x14ac:dyDescent="0.3"/>
  <cols>
    <col min="1" max="1" width="2.5546875" style="1" customWidth="1"/>
    <col min="2" max="2" width="22.109375" style="1" bestFit="1" customWidth="1"/>
    <col min="3" max="10" width="14.21875" style="1" bestFit="1" customWidth="1"/>
    <col min="11" max="11" width="113.5546875" style="1" bestFit="1" customWidth="1"/>
    <col min="12" max="12" width="17.88671875" style="3" bestFit="1" customWidth="1"/>
    <col min="13" max="13" width="16.6640625" style="2" bestFit="1" customWidth="1"/>
    <col min="14" max="14" width="19.88671875" style="3" bestFit="1" customWidth="1"/>
    <col min="15" max="15" width="19.77734375" style="2" customWidth="1"/>
    <col min="16" max="16" width="30.21875" style="1" customWidth="1"/>
    <col min="17" max="17" width="127.77734375" style="1" bestFit="1" customWidth="1"/>
    <col min="18" max="18" width="13.6640625" style="7" bestFit="1" customWidth="1"/>
    <col min="20" max="20" width="8.88671875" style="1"/>
    <col min="21" max="21" width="30.6640625" style="1" customWidth="1"/>
    <col min="22" max="22" width="8.88671875" style="1"/>
    <col min="23" max="23" width="50" style="1" customWidth="1"/>
    <col min="24" max="16384" width="8.88671875" style="1"/>
  </cols>
  <sheetData>
    <row r="1" spans="1:22" x14ac:dyDescent="0.3">
      <c r="A1" s="1">
        <f>1</f>
        <v>1</v>
      </c>
      <c r="B1" s="1">
        <f>A1+1</f>
        <v>2</v>
      </c>
      <c r="C1" s="1">
        <f t="shared" ref="C1:V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</row>
    <row r="2" spans="1:22" x14ac:dyDescent="0.3">
      <c r="A2" s="72"/>
      <c r="B2" s="4" t="s">
        <v>56</v>
      </c>
      <c r="C2" s="11" t="s">
        <v>84</v>
      </c>
      <c r="D2" s="11" t="s">
        <v>85</v>
      </c>
      <c r="E2" s="11" t="s">
        <v>86</v>
      </c>
      <c r="F2" s="11" t="s">
        <v>87</v>
      </c>
      <c r="G2" s="11" t="s">
        <v>88</v>
      </c>
      <c r="H2" s="11" t="s">
        <v>89</v>
      </c>
      <c r="I2" s="11" t="s">
        <v>90</v>
      </c>
      <c r="J2" s="11" t="s">
        <v>91</v>
      </c>
      <c r="K2" s="4" t="s">
        <v>5</v>
      </c>
      <c r="L2" s="5" t="s">
        <v>78</v>
      </c>
      <c r="M2" s="4" t="s">
        <v>6</v>
      </c>
      <c r="N2" s="5" t="s">
        <v>79</v>
      </c>
      <c r="O2" s="4" t="s">
        <v>7</v>
      </c>
      <c r="P2" s="4" t="s">
        <v>57</v>
      </c>
      <c r="Q2" s="4" t="s">
        <v>54</v>
      </c>
      <c r="R2" s="6" t="s">
        <v>58</v>
      </c>
      <c r="T2" s="71" t="s">
        <v>109</v>
      </c>
      <c r="V2" s="71" t="s">
        <v>110</v>
      </c>
    </row>
    <row r="3" spans="1:22" x14ac:dyDescent="0.3">
      <c r="B3" s="8" t="s">
        <v>9</v>
      </c>
      <c r="C3" s="8" t="s">
        <v>82</v>
      </c>
      <c r="D3" s="8" t="s">
        <v>92</v>
      </c>
      <c r="E3" s="8" t="s">
        <v>92</v>
      </c>
      <c r="F3" s="8" t="s">
        <v>92</v>
      </c>
      <c r="G3" s="8" t="s">
        <v>92</v>
      </c>
      <c r="H3" s="8" t="s">
        <v>92</v>
      </c>
      <c r="I3" s="8" t="s">
        <v>92</v>
      </c>
      <c r="J3" s="8" t="s">
        <v>92</v>
      </c>
      <c r="K3" s="10" t="s">
        <v>10</v>
      </c>
      <c r="L3" s="9">
        <v>45229</v>
      </c>
      <c r="M3" s="8" t="s">
        <v>11</v>
      </c>
      <c r="N3" s="9"/>
      <c r="O3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3" s="8"/>
      <c r="Q3" s="10" t="s">
        <v>12</v>
      </c>
      <c r="R3" s="9"/>
    </row>
    <row r="4" spans="1:22" x14ac:dyDescent="0.3">
      <c r="B4" s="8" t="s">
        <v>9</v>
      </c>
      <c r="C4" s="8" t="s">
        <v>82</v>
      </c>
      <c r="D4" s="8" t="s">
        <v>92</v>
      </c>
      <c r="E4" s="8" t="s">
        <v>92</v>
      </c>
      <c r="F4" s="8" t="s">
        <v>92</v>
      </c>
      <c r="G4" s="8" t="s">
        <v>92</v>
      </c>
      <c r="H4" s="8" t="s">
        <v>92</v>
      </c>
      <c r="I4" s="8" t="s">
        <v>92</v>
      </c>
      <c r="J4" s="8" t="s">
        <v>92</v>
      </c>
      <c r="K4" s="10" t="s">
        <v>13</v>
      </c>
      <c r="L4" s="9">
        <v>45290</v>
      </c>
      <c r="M4" s="8" t="s">
        <v>14</v>
      </c>
      <c r="N4" s="9"/>
      <c r="O4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4" s="8"/>
      <c r="Q4" s="10" t="s">
        <v>68</v>
      </c>
      <c r="R4" s="9"/>
    </row>
    <row r="5" spans="1:22" x14ac:dyDescent="0.3">
      <c r="B5" s="8" t="s">
        <v>9</v>
      </c>
      <c r="C5" s="8" t="s">
        <v>82</v>
      </c>
      <c r="D5" s="8" t="s">
        <v>92</v>
      </c>
      <c r="E5" s="8" t="s">
        <v>92</v>
      </c>
      <c r="F5" s="8" t="s">
        <v>92</v>
      </c>
      <c r="G5" s="8" t="s">
        <v>92</v>
      </c>
      <c r="H5" s="8" t="s">
        <v>92</v>
      </c>
      <c r="I5" s="8" t="s">
        <v>92</v>
      </c>
      <c r="J5" s="8" t="s">
        <v>92</v>
      </c>
      <c r="K5" s="10" t="s">
        <v>15</v>
      </c>
      <c r="L5" s="9">
        <v>45290</v>
      </c>
      <c r="M5" s="8" t="s">
        <v>16</v>
      </c>
      <c r="N5" s="9"/>
      <c r="O5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5" s="8"/>
      <c r="Q5" s="10" t="s">
        <v>67</v>
      </c>
      <c r="R5" s="9"/>
    </row>
    <row r="6" spans="1:22" ht="24" x14ac:dyDescent="0.3">
      <c r="B6" s="8" t="s">
        <v>18</v>
      </c>
      <c r="C6" s="8" t="s">
        <v>92</v>
      </c>
      <c r="D6" s="8" t="s">
        <v>92</v>
      </c>
      <c r="E6" s="8" t="s">
        <v>92</v>
      </c>
      <c r="F6" s="8" t="s">
        <v>82</v>
      </c>
      <c r="G6" s="8" t="s">
        <v>83</v>
      </c>
      <c r="H6" s="8" t="s">
        <v>92</v>
      </c>
      <c r="I6" s="8" t="s">
        <v>92</v>
      </c>
      <c r="J6" s="8" t="s">
        <v>92</v>
      </c>
      <c r="K6" s="10" t="s">
        <v>64</v>
      </c>
      <c r="L6" s="9">
        <v>45291</v>
      </c>
      <c r="M6" s="8" t="s">
        <v>14</v>
      </c>
      <c r="N6" s="9"/>
      <c r="O6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6" s="8"/>
      <c r="Q6" s="10" t="s">
        <v>75</v>
      </c>
      <c r="R6" s="9"/>
    </row>
    <row r="7" spans="1:22" x14ac:dyDescent="0.3">
      <c r="B7" s="8" t="s">
        <v>20</v>
      </c>
      <c r="C7" s="8" t="s">
        <v>92</v>
      </c>
      <c r="D7" s="8" t="s">
        <v>92</v>
      </c>
      <c r="E7" s="8" t="s">
        <v>92</v>
      </c>
      <c r="F7" s="8" t="s">
        <v>82</v>
      </c>
      <c r="G7" s="8" t="s">
        <v>83</v>
      </c>
      <c r="H7" s="8" t="s">
        <v>92</v>
      </c>
      <c r="I7" s="8" t="s">
        <v>83</v>
      </c>
      <c r="J7" s="8" t="s">
        <v>92</v>
      </c>
      <c r="K7" s="10" t="s">
        <v>21</v>
      </c>
      <c r="L7" s="9">
        <v>45290</v>
      </c>
      <c r="M7" s="8" t="s">
        <v>16</v>
      </c>
      <c r="N7" s="9"/>
      <c r="O7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7" s="8"/>
      <c r="Q7" s="10" t="s">
        <v>66</v>
      </c>
      <c r="R7" s="9"/>
    </row>
    <row r="8" spans="1:22" x14ac:dyDescent="0.3">
      <c r="B8" s="8" t="s">
        <v>22</v>
      </c>
      <c r="C8" s="8" t="s">
        <v>92</v>
      </c>
      <c r="D8" s="8" t="s">
        <v>92</v>
      </c>
      <c r="E8" s="8" t="s">
        <v>92</v>
      </c>
      <c r="F8" s="8" t="s">
        <v>82</v>
      </c>
      <c r="G8" s="8" t="s">
        <v>83</v>
      </c>
      <c r="H8" s="8" t="s">
        <v>92</v>
      </c>
      <c r="I8" s="8" t="s">
        <v>83</v>
      </c>
      <c r="J8" s="8" t="s">
        <v>92</v>
      </c>
      <c r="K8" s="10" t="s">
        <v>55</v>
      </c>
      <c r="L8" s="9">
        <v>45290</v>
      </c>
      <c r="M8" s="8" t="s">
        <v>16</v>
      </c>
      <c r="N8" s="9"/>
      <c r="O8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8" s="8"/>
      <c r="Q8" s="10" t="s">
        <v>65</v>
      </c>
      <c r="R8" s="9"/>
    </row>
    <row r="9" spans="1:22" x14ac:dyDescent="0.3">
      <c r="B9" s="8" t="s">
        <v>24</v>
      </c>
      <c r="C9" s="8" t="s">
        <v>92</v>
      </c>
      <c r="D9" s="8" t="s">
        <v>92</v>
      </c>
      <c r="E9" s="8" t="s">
        <v>92</v>
      </c>
      <c r="F9" s="8" t="s">
        <v>92</v>
      </c>
      <c r="G9" s="8" t="s">
        <v>82</v>
      </c>
      <c r="H9" s="8" t="s">
        <v>92</v>
      </c>
      <c r="I9" s="8" t="s">
        <v>92</v>
      </c>
      <c r="J9" s="8" t="s">
        <v>92</v>
      </c>
      <c r="K9" s="10" t="s">
        <v>55</v>
      </c>
      <c r="L9" s="9">
        <v>45290</v>
      </c>
      <c r="M9" s="8" t="s">
        <v>16</v>
      </c>
      <c r="N9" s="9"/>
      <c r="O9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9" s="8"/>
      <c r="Q9" s="10" t="s">
        <v>72</v>
      </c>
      <c r="R9" s="9">
        <v>45087</v>
      </c>
    </row>
    <row r="10" spans="1:22" ht="24" x14ac:dyDescent="0.3">
      <c r="B10" s="8" t="s">
        <v>26</v>
      </c>
      <c r="C10" s="8" t="s">
        <v>92</v>
      </c>
      <c r="D10" s="8" t="s">
        <v>92</v>
      </c>
      <c r="E10" s="8" t="s">
        <v>92</v>
      </c>
      <c r="F10" s="8" t="s">
        <v>92</v>
      </c>
      <c r="G10" s="8" t="s">
        <v>82</v>
      </c>
      <c r="H10" s="8" t="s">
        <v>83</v>
      </c>
      <c r="I10" s="8" t="s">
        <v>83</v>
      </c>
      <c r="J10" s="8" t="s">
        <v>92</v>
      </c>
      <c r="K10" s="10" t="s">
        <v>63</v>
      </c>
      <c r="L10" s="9">
        <v>45290</v>
      </c>
      <c r="M10" s="8" t="s">
        <v>27</v>
      </c>
      <c r="N10" s="9"/>
      <c r="O10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0" s="8" t="s">
        <v>93</v>
      </c>
      <c r="Q10" s="10" t="s">
        <v>74</v>
      </c>
      <c r="R10" s="9">
        <v>45036</v>
      </c>
    </row>
    <row r="11" spans="1:22" ht="24" x14ac:dyDescent="0.3">
      <c r="B11" s="8" t="s">
        <v>26</v>
      </c>
      <c r="C11" s="8" t="s">
        <v>92</v>
      </c>
      <c r="D11" s="8" t="s">
        <v>92</v>
      </c>
      <c r="E11" s="8" t="s">
        <v>92</v>
      </c>
      <c r="F11" s="8" t="s">
        <v>92</v>
      </c>
      <c r="G11" s="8" t="s">
        <v>82</v>
      </c>
      <c r="H11" s="8" t="s">
        <v>83</v>
      </c>
      <c r="I11" s="8" t="s">
        <v>83</v>
      </c>
      <c r="J11" s="8" t="s">
        <v>92</v>
      </c>
      <c r="K11" s="10" t="s">
        <v>62</v>
      </c>
      <c r="L11" s="9">
        <v>45260</v>
      </c>
      <c r="M11" s="8" t="s">
        <v>11</v>
      </c>
      <c r="N11" s="9"/>
      <c r="O11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1" s="8"/>
      <c r="Q11" s="10" t="s">
        <v>73</v>
      </c>
      <c r="R11" s="9"/>
    </row>
    <row r="12" spans="1:22" ht="24" x14ac:dyDescent="0.3">
      <c r="B12" s="8" t="s">
        <v>29</v>
      </c>
      <c r="C12" s="8" t="s">
        <v>92</v>
      </c>
      <c r="D12" s="8" t="s">
        <v>92</v>
      </c>
      <c r="E12" s="8" t="s">
        <v>83</v>
      </c>
      <c r="F12" s="8" t="s">
        <v>92</v>
      </c>
      <c r="G12" s="8" t="s">
        <v>82</v>
      </c>
      <c r="H12" s="8" t="s">
        <v>82</v>
      </c>
      <c r="I12" s="8" t="s">
        <v>92</v>
      </c>
      <c r="J12" s="8" t="s">
        <v>92</v>
      </c>
      <c r="K12" s="10" t="s">
        <v>61</v>
      </c>
      <c r="L12" s="9">
        <v>45291</v>
      </c>
      <c r="M12" s="8" t="s">
        <v>30</v>
      </c>
      <c r="N12" s="9"/>
      <c r="O12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2" s="8"/>
      <c r="Q12" s="10" t="s">
        <v>76</v>
      </c>
      <c r="R12" s="9">
        <v>45137</v>
      </c>
    </row>
    <row r="13" spans="1:22" x14ac:dyDescent="0.3">
      <c r="B13" s="8" t="s">
        <v>49</v>
      </c>
      <c r="C13" s="8" t="s">
        <v>92</v>
      </c>
      <c r="D13" s="8" t="s">
        <v>92</v>
      </c>
      <c r="E13" s="8" t="s">
        <v>92</v>
      </c>
      <c r="F13" s="8" t="s">
        <v>92</v>
      </c>
      <c r="G13" s="8" t="s">
        <v>92</v>
      </c>
      <c r="H13" s="8" t="s">
        <v>92</v>
      </c>
      <c r="I13" s="8" t="s">
        <v>82</v>
      </c>
      <c r="J13" s="8" t="s">
        <v>92</v>
      </c>
      <c r="K13" s="10" t="s">
        <v>32</v>
      </c>
      <c r="L13" s="9">
        <v>45291</v>
      </c>
      <c r="M13" s="8" t="s">
        <v>27</v>
      </c>
      <c r="N13" s="9"/>
      <c r="O13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3" s="8"/>
      <c r="Q13" s="10" t="s">
        <v>71</v>
      </c>
      <c r="R13" s="9"/>
    </row>
    <row r="14" spans="1:22" ht="48" x14ac:dyDescent="0.3">
      <c r="B14" s="8" t="s">
        <v>34</v>
      </c>
      <c r="C14" s="8" t="s">
        <v>82</v>
      </c>
      <c r="D14" s="8" t="s">
        <v>82</v>
      </c>
      <c r="E14" s="8" t="s">
        <v>82</v>
      </c>
      <c r="F14" s="8" t="s">
        <v>82</v>
      </c>
      <c r="G14" s="8" t="s">
        <v>82</v>
      </c>
      <c r="H14" s="8" t="s">
        <v>82</v>
      </c>
      <c r="I14" s="8" t="s">
        <v>82</v>
      </c>
      <c r="J14" s="8" t="s">
        <v>82</v>
      </c>
      <c r="K14" s="10" t="s">
        <v>80</v>
      </c>
      <c r="L14" s="9">
        <v>45291</v>
      </c>
      <c r="M14" s="8" t="s">
        <v>35</v>
      </c>
      <c r="N14" s="9"/>
      <c r="O14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4" s="8"/>
      <c r="Q14" s="10" t="s">
        <v>77</v>
      </c>
      <c r="R14" s="9"/>
    </row>
    <row r="15" spans="1:22" x14ac:dyDescent="0.3">
      <c r="B15" s="8" t="s">
        <v>37</v>
      </c>
      <c r="C15" s="8" t="s">
        <v>92</v>
      </c>
      <c r="D15" s="8" t="s">
        <v>92</v>
      </c>
      <c r="E15" s="8" t="s">
        <v>92</v>
      </c>
      <c r="F15" s="8" t="s">
        <v>92</v>
      </c>
      <c r="G15" s="8" t="s">
        <v>92</v>
      </c>
      <c r="H15" s="8" t="s">
        <v>92</v>
      </c>
      <c r="I15" s="8" t="s">
        <v>92</v>
      </c>
      <c r="J15" s="8" t="s">
        <v>82</v>
      </c>
      <c r="K15" s="10" t="s">
        <v>38</v>
      </c>
      <c r="L15" s="9">
        <v>45199</v>
      </c>
      <c r="M15" s="8" t="s">
        <v>35</v>
      </c>
      <c r="N15" s="9"/>
      <c r="O15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5" s="8"/>
      <c r="Q15" s="10" t="s">
        <v>70</v>
      </c>
      <c r="R15" s="9"/>
    </row>
    <row r="16" spans="1:22" x14ac:dyDescent="0.3">
      <c r="B16" s="8" t="s">
        <v>40</v>
      </c>
      <c r="C16" s="8" t="s">
        <v>92</v>
      </c>
      <c r="D16" s="8" t="s">
        <v>92</v>
      </c>
      <c r="E16" s="8" t="s">
        <v>92</v>
      </c>
      <c r="F16" s="8" t="s">
        <v>92</v>
      </c>
      <c r="G16" s="8" t="s">
        <v>92</v>
      </c>
      <c r="H16" s="8" t="s">
        <v>92</v>
      </c>
      <c r="I16" s="8" t="s">
        <v>92</v>
      </c>
      <c r="J16" s="8" t="s">
        <v>82</v>
      </c>
      <c r="K16" s="10" t="s">
        <v>41</v>
      </c>
      <c r="L16" s="9">
        <v>45290</v>
      </c>
      <c r="M16" s="8" t="s">
        <v>27</v>
      </c>
      <c r="N16" s="9"/>
      <c r="O16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6" s="8"/>
      <c r="Q16" s="10" t="s">
        <v>42</v>
      </c>
      <c r="R16" s="9"/>
    </row>
    <row r="17" spans="2:18" x14ac:dyDescent="0.3">
      <c r="B17" s="8" t="s">
        <v>40</v>
      </c>
      <c r="C17" s="8" t="s">
        <v>92</v>
      </c>
      <c r="D17" s="8" t="s">
        <v>92</v>
      </c>
      <c r="E17" s="8" t="s">
        <v>92</v>
      </c>
      <c r="F17" s="8" t="s">
        <v>92</v>
      </c>
      <c r="G17" s="8" t="s">
        <v>92</v>
      </c>
      <c r="H17" s="8" t="s">
        <v>92</v>
      </c>
      <c r="I17" s="8" t="s">
        <v>92</v>
      </c>
      <c r="J17" s="8" t="s">
        <v>82</v>
      </c>
      <c r="K17" s="10" t="s">
        <v>60</v>
      </c>
      <c r="L17" s="9">
        <v>45290</v>
      </c>
      <c r="M17" s="8" t="s">
        <v>43</v>
      </c>
      <c r="N17" s="9"/>
      <c r="O17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7" s="8"/>
      <c r="Q17" s="10" t="s">
        <v>59</v>
      </c>
      <c r="R17" s="9"/>
    </row>
    <row r="18" spans="2:18" ht="24" x14ac:dyDescent="0.3">
      <c r="B18" s="8" t="s">
        <v>40</v>
      </c>
      <c r="C18" s="8" t="s">
        <v>92</v>
      </c>
      <c r="D18" s="8" t="s">
        <v>92</v>
      </c>
      <c r="E18" s="8" t="s">
        <v>92</v>
      </c>
      <c r="F18" s="8" t="s">
        <v>92</v>
      </c>
      <c r="G18" s="8" t="s">
        <v>92</v>
      </c>
      <c r="H18" s="8" t="s">
        <v>92</v>
      </c>
      <c r="I18" s="8" t="s">
        <v>92</v>
      </c>
      <c r="J18" s="8" t="s">
        <v>82</v>
      </c>
      <c r="K18" s="10" t="s">
        <v>81</v>
      </c>
      <c r="L18" s="9">
        <v>45184</v>
      </c>
      <c r="M18" s="8" t="s">
        <v>45</v>
      </c>
      <c r="N18" s="9"/>
      <c r="O18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8" s="8"/>
      <c r="Q18" s="10" t="s">
        <v>69</v>
      </c>
      <c r="R18" s="9"/>
    </row>
    <row r="19" spans="2:18" ht="24" x14ac:dyDescent="0.3">
      <c r="B19" s="8" t="s">
        <v>47</v>
      </c>
      <c r="C19" s="8" t="s">
        <v>92</v>
      </c>
      <c r="D19" s="8" t="s">
        <v>92</v>
      </c>
      <c r="E19" s="8" t="s">
        <v>92</v>
      </c>
      <c r="F19" s="8" t="s">
        <v>92</v>
      </c>
      <c r="G19" s="8" t="s">
        <v>92</v>
      </c>
      <c r="H19" s="8" t="s">
        <v>92</v>
      </c>
      <c r="I19" s="8" t="s">
        <v>92</v>
      </c>
      <c r="J19" s="8" t="s">
        <v>82</v>
      </c>
      <c r="K19" s="10" t="s">
        <v>81</v>
      </c>
      <c r="L19" s="9">
        <v>45184</v>
      </c>
      <c r="M19" s="8" t="s">
        <v>45</v>
      </c>
      <c r="N19" s="9"/>
      <c r="O19" s="8" t="str">
        <f ca="1">IF(Tabela1[[#This Row],[DATA REALIZADO]]&lt;&gt;"","Finalizada",
IF(TODAY()&lt;Tabela1[[#This Row],[DATA PREVISTA]],"Em andamento",
IF(TODAY()&gt;=Tabela1[[#This Row],[DATA PREVISTA]],"Em atraso",)))</f>
        <v>Em andamento</v>
      </c>
      <c r="P19" s="8"/>
      <c r="Q19" s="10" t="s">
        <v>69</v>
      </c>
      <c r="R19" s="9"/>
    </row>
  </sheetData>
  <phoneticPr fontId="4" type="noConversion"/>
  <dataValidations count="1">
    <dataValidation type="list" allowBlank="1" showInputMessage="1" showErrorMessage="1" sqref="C3:J19" xr:uid="{22FC1848-973F-46E1-B296-42A00B073682}">
      <formula1>"FORTE,MODERADA,-"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57122-DA5E-46F5-A39A-568701A4F3CC}">
  <sheetPr>
    <tabColor theme="5"/>
    <pageSetUpPr fitToPage="1"/>
  </sheetPr>
  <dimension ref="A1:H101"/>
  <sheetViews>
    <sheetView showGridLines="0" showRowColHeaders="0" tabSelected="1" topLeftCell="A2" zoomScale="90" zoomScaleNormal="90" workbookViewId="0">
      <pane ySplit="5" topLeftCell="A7" activePane="bottomLeft" state="frozen"/>
      <selection activeCell="A2" sqref="A2"/>
      <selection pane="bottomLeft" activeCell="D3" sqref="D3:F4"/>
    </sheetView>
  </sheetViews>
  <sheetFormatPr defaultColWidth="0" defaultRowHeight="13.2" x14ac:dyDescent="0.25"/>
  <cols>
    <col min="1" max="1" width="2.77734375" style="18" customWidth="1"/>
    <col min="2" max="2" width="3.44140625" customWidth="1"/>
    <col min="3" max="3" width="177.109375" bestFit="1" customWidth="1"/>
    <col min="4" max="4" width="16.5546875" bestFit="1" customWidth="1"/>
    <col min="5" max="7" width="8.88671875" customWidth="1"/>
    <col min="8" max="8" width="2.88671875" style="18" customWidth="1"/>
    <col min="9" max="16384" width="8.88671875" hidden="1"/>
  </cols>
  <sheetData>
    <row r="1" spans="3:7" s="18" customFormat="1" x14ac:dyDescent="0.25"/>
    <row r="3" spans="3:7" x14ac:dyDescent="0.25">
      <c r="C3" s="64" t="s">
        <v>108</v>
      </c>
      <c r="D3" s="65"/>
      <c r="E3" s="66"/>
      <c r="F3" s="67"/>
    </row>
    <row r="4" spans="3:7" x14ac:dyDescent="0.25">
      <c r="C4" s="64"/>
      <c r="D4" s="68"/>
      <c r="E4" s="69"/>
      <c r="F4" s="70"/>
    </row>
    <row r="6" spans="3:7" ht="36.6" x14ac:dyDescent="0.7">
      <c r="C6" s="63" t="s">
        <v>107</v>
      </c>
      <c r="D6" s="63"/>
      <c r="E6" s="63"/>
      <c r="F6" s="63"/>
      <c r="G6" s="63"/>
    </row>
    <row r="7" spans="3:7" ht="4.95" customHeight="1" x14ac:dyDescent="0.25"/>
    <row r="86" spans="3:3" ht="15.6" x14ac:dyDescent="0.3">
      <c r="C86" s="60" t="s">
        <v>105</v>
      </c>
    </row>
    <row r="87" spans="3:3" ht="13.8" x14ac:dyDescent="0.3">
      <c r="C87" s="59" t="s">
        <v>13</v>
      </c>
    </row>
    <row r="88" spans="3:3" ht="13.8" x14ac:dyDescent="0.3">
      <c r="C88" s="59" t="s">
        <v>32</v>
      </c>
    </row>
    <row r="89" spans="3:3" ht="13.8" x14ac:dyDescent="0.3">
      <c r="C89" s="59" t="s">
        <v>38</v>
      </c>
    </row>
    <row r="90" spans="3:3" ht="13.8" x14ac:dyDescent="0.3">
      <c r="C90" s="59" t="s">
        <v>80</v>
      </c>
    </row>
    <row r="91" spans="3:3" ht="13.8" x14ac:dyDescent="0.3">
      <c r="C91" s="59" t="s">
        <v>61</v>
      </c>
    </row>
    <row r="92" spans="3:3" ht="13.8" x14ac:dyDescent="0.3">
      <c r="C92" s="59" t="s">
        <v>63</v>
      </c>
    </row>
    <row r="93" spans="3:3" ht="13.8" x14ac:dyDescent="0.3">
      <c r="C93" s="59" t="s">
        <v>15</v>
      </c>
    </row>
    <row r="94" spans="3:3" ht="13.8" x14ac:dyDescent="0.3">
      <c r="C94" s="59" t="s">
        <v>62</v>
      </c>
    </row>
    <row r="95" spans="3:3" ht="13.8" x14ac:dyDescent="0.3">
      <c r="C95" s="59" t="s">
        <v>21</v>
      </c>
    </row>
    <row r="96" spans="3:3" ht="13.8" x14ac:dyDescent="0.3">
      <c r="C96" s="59" t="s">
        <v>81</v>
      </c>
    </row>
    <row r="97" spans="3:3" ht="13.8" x14ac:dyDescent="0.3">
      <c r="C97" s="59" t="s">
        <v>41</v>
      </c>
    </row>
    <row r="98" spans="3:3" ht="13.8" x14ac:dyDescent="0.3">
      <c r="C98" s="59" t="s">
        <v>60</v>
      </c>
    </row>
    <row r="99" spans="3:3" ht="13.8" x14ac:dyDescent="0.3">
      <c r="C99" s="59" t="s">
        <v>10</v>
      </c>
    </row>
    <row r="100" spans="3:3" ht="13.8" x14ac:dyDescent="0.3">
      <c r="C100" s="59" t="s">
        <v>64</v>
      </c>
    </row>
    <row r="101" spans="3:3" ht="13.8" x14ac:dyDescent="0.3">
      <c r="C101" s="59" t="s">
        <v>55</v>
      </c>
    </row>
  </sheetData>
  <mergeCells count="3">
    <mergeCell ref="C6:G6"/>
    <mergeCell ref="D3:F4"/>
    <mergeCell ref="C3:C4"/>
  </mergeCells>
  <pageMargins left="0.17" right="0.17" top="0.28999999999999998" bottom="0.26" header="0.19" footer="0.17"/>
  <pageSetup paperSize="9" scale="42" orientation="landscape" horizontalDpi="0" verticalDpi="0" r:id="rId2"/>
  <rowBreaks count="1" manualBreakCount="1">
    <brk id="85" max="11" man="1"/>
  </rowBreaks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ertificado xmlns="12604283-d58a-4d06-a0b2-cab030051df7" xsi:nil="true"/>
    <TaxCatchAll xmlns="99a57dc3-68b6-4c35-9162-2ed71c902328" xsi:nil="true"/>
    <lcf76f155ced4ddcb4097134ff3c332f xmlns="12604283-d58a-4d06-a0b2-cab030051df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1B3889A8308C44EA71160341590955F" ma:contentTypeVersion="17" ma:contentTypeDescription="Crie um novo documento." ma:contentTypeScope="" ma:versionID="c0a3dca7bd5f3db0dbefe421e906cd0b">
  <xsd:schema xmlns:xsd="http://www.w3.org/2001/XMLSchema" xmlns:xs="http://www.w3.org/2001/XMLSchema" xmlns:p="http://schemas.microsoft.com/office/2006/metadata/properties" xmlns:ns2="99a57dc3-68b6-4c35-9162-2ed71c902328" xmlns:ns3="12604283-d58a-4d06-a0b2-cab030051df7" targetNamespace="http://schemas.microsoft.com/office/2006/metadata/properties" ma:root="true" ma:fieldsID="49f17dec2261d10008f61e6f219cf178" ns2:_="" ns3:_="">
    <xsd:import namespace="99a57dc3-68b6-4c35-9162-2ed71c902328"/>
    <xsd:import namespace="12604283-d58a-4d06-a0b2-cab030051df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Certificado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a57dc3-68b6-4c35-9162-2ed71c90232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8d2bf269-c73b-48e7-af37-c2252ecfa5da}" ma:internalName="TaxCatchAll" ma:showField="CatchAllData" ma:web="99a57dc3-68b6-4c35-9162-2ed71c9023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04283-d58a-4d06-a0b2-cab030051df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ertificado" ma:index="19" nillable="true" ma:displayName="Certificado" ma:format="Dropdown" ma:internalName="Certificado">
      <xsd:simpleType>
        <xsd:restriction base="dms:Text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Marcações de imagem" ma:readOnly="false" ma:fieldId="{5cf76f15-5ced-4ddc-b409-7134ff3c332f}" ma:taxonomyMulti="true" ma:sspId="6fd23423-9426-413c-9f34-c02f55b7bd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D06824-86BD-471F-98F1-072DE72CBD79}">
  <ds:schemaRefs>
    <ds:schemaRef ds:uri="http://schemas.microsoft.com/office/2006/metadata/properties"/>
    <ds:schemaRef ds:uri="http://schemas.microsoft.com/office/infopath/2007/PartnerControls"/>
    <ds:schemaRef ds:uri="12604283-d58a-4d06-a0b2-cab030051df7"/>
    <ds:schemaRef ds:uri="99a57dc3-68b6-4c35-9162-2ed71c902328"/>
  </ds:schemaRefs>
</ds:datastoreItem>
</file>

<file path=customXml/itemProps2.xml><?xml version="1.0" encoding="utf-8"?>
<ds:datastoreItem xmlns:ds="http://schemas.openxmlformats.org/officeDocument/2006/customXml" ds:itemID="{1B0561D7-F091-491D-A309-5A3DCDCEC7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F85544-AFE2-43C5-9250-DAEBE71EE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a57dc3-68b6-4c35-9162-2ed71c902328"/>
    <ds:schemaRef ds:uri="12604283-d58a-4d06-a0b2-cab030051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DoD_Graf</vt:lpstr>
      <vt:lpstr>Aux_ValidDados</vt:lpstr>
      <vt:lpstr>td_Dados</vt:lpstr>
      <vt:lpstr>Bd_Dados</vt:lpstr>
      <vt:lpstr>Dashboard</vt:lpstr>
      <vt:lpstr>Dashboard!Area_de_impressao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APRIMOR</dc:creator>
  <cp:keywords/>
  <dc:description/>
  <cp:lastModifiedBy>Oliveira Junior</cp:lastModifiedBy>
  <cp:revision/>
  <cp:lastPrinted>2023-08-22T17:37:26Z</cp:lastPrinted>
  <dcterms:created xsi:type="dcterms:W3CDTF">2019-06-30T11:03:03Z</dcterms:created>
  <dcterms:modified xsi:type="dcterms:W3CDTF">2023-08-23T19:30:18Z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0x01010091B3889A8308C44EA71160341590955F</vt:lpwstr>
  </property>
  <property fmtid="{D5CDD505-2E9C-101B-9397-08002B2CF9AE}" pid="3" name="MediaServiceImageTags">
    <vt:lpwstr/>
  </property>
</Properties>
</file>